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Kaithakkod\Downloads\Codes\Restarant\"/>
    </mc:Choice>
  </mc:AlternateContent>
  <xr:revisionPtr revIDLastSave="0" documentId="13_ncr:1_{7E53D9DB-AEE0-4F14-8D05-868E09599CD0}" xr6:coauthVersionLast="47" xr6:coauthVersionMax="47" xr10:uidLastSave="{00000000-0000-0000-0000-000000000000}"/>
  <bookViews>
    <workbookView xWindow="57480" yWindow="-120" windowWidth="29040" windowHeight="15720" xr2:uid="{58AFDDBF-ED6D-4E39-B166-E94F41C27959}"/>
  </bookViews>
  <sheets>
    <sheet name="Branding" sheetId="1" r:id="rId1"/>
    <sheet name="SpecialOffer" sheetId="2" r:id="rId2"/>
    <sheet name="Menu-English" sheetId="3" r:id="rId3"/>
    <sheet name="Menu-Arabic" sheetId="5" r:id="rId4"/>
    <sheet name="RelatedItems" sheetId="6" r:id="rId5"/>
    <sheet name="Inventory" sheetId="8" r:id="rId6"/>
    <sheet name="Content ru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2" i="3"/>
</calcChain>
</file>

<file path=xl/sharedStrings.xml><?xml version="1.0" encoding="utf-8"?>
<sst xmlns="http://schemas.openxmlformats.org/spreadsheetml/2006/main" count="926" uniqueCount="542">
  <si>
    <t>Contact</t>
  </si>
  <si>
    <t>Watsap</t>
  </si>
  <si>
    <t>Other Number</t>
  </si>
  <si>
    <t>E-mail</t>
  </si>
  <si>
    <t>rf@gmail.com</t>
  </si>
  <si>
    <t>Website</t>
  </si>
  <si>
    <t>Address</t>
  </si>
  <si>
    <t>Location</t>
  </si>
  <si>
    <t>https://maps.app.goo.gl/AHQsZChqfBk3TTuV8</t>
  </si>
  <si>
    <t>SL#</t>
  </si>
  <si>
    <t>Ofer Name</t>
  </si>
  <si>
    <t>10% Discount</t>
  </si>
  <si>
    <t>20% Discount</t>
  </si>
  <si>
    <t>30% Discount</t>
  </si>
  <si>
    <t>50% Discount</t>
  </si>
  <si>
    <t>Description</t>
  </si>
  <si>
    <t>get flat 10% discount on Sunday Only</t>
  </si>
  <si>
    <t>Price Before</t>
  </si>
  <si>
    <t>Currency</t>
  </si>
  <si>
    <t>SR</t>
  </si>
  <si>
    <t>Price After</t>
  </si>
  <si>
    <t>Image</t>
  </si>
  <si>
    <t>70% Discount</t>
  </si>
  <si>
    <t>get flat 20% discount on Weekends Only</t>
  </si>
  <si>
    <t>get flat 50% discount on Mondayy Only</t>
  </si>
  <si>
    <t>get flat 30% discount on Wed-Thu Only</t>
  </si>
  <si>
    <t>get flat 70% discount on Friday Only</t>
  </si>
  <si>
    <t>Break Fast</t>
  </si>
  <si>
    <t>Lunch</t>
  </si>
  <si>
    <t>Dinner</t>
  </si>
  <si>
    <t>Main Category</t>
  </si>
  <si>
    <t>Sub Category</t>
  </si>
  <si>
    <t>Rice</t>
  </si>
  <si>
    <t>Drinks</t>
  </si>
  <si>
    <t>Meat</t>
  </si>
  <si>
    <t>Juice</t>
  </si>
  <si>
    <t>Ice Creams</t>
  </si>
  <si>
    <t>Biriyani</t>
  </si>
  <si>
    <t>Puttu</t>
  </si>
  <si>
    <t>Appam</t>
  </si>
  <si>
    <t>Tea</t>
  </si>
  <si>
    <t>Coffee</t>
  </si>
  <si>
    <t>Water</t>
  </si>
  <si>
    <t>Beef Biriyani</t>
  </si>
  <si>
    <t>Chicken Biriyani</t>
  </si>
  <si>
    <t>Biriyani rice</t>
  </si>
  <si>
    <t>Beef Fry</t>
  </si>
  <si>
    <t>Chicken Fry</t>
  </si>
  <si>
    <t>Meal</t>
  </si>
  <si>
    <t>Kerala Rice</t>
  </si>
  <si>
    <t>Baric Rice</t>
  </si>
  <si>
    <t>Mango</t>
  </si>
  <si>
    <t>Orange</t>
  </si>
  <si>
    <t>Mint</t>
  </si>
  <si>
    <t>Vanilla</t>
  </si>
  <si>
    <t>Strawberry</t>
  </si>
  <si>
    <t>Price</t>
  </si>
  <si>
    <t>Calories</t>
  </si>
  <si>
    <t>Delivery charge</t>
  </si>
  <si>
    <t>Recipe</t>
  </si>
  <si>
    <t>Today Special</t>
  </si>
  <si>
    <t>Sl#</t>
  </si>
  <si>
    <t>Item Order Number Under Sub Category</t>
  </si>
  <si>
    <t>Video</t>
  </si>
  <si>
    <t>Language</t>
  </si>
  <si>
    <t>Banner Image</t>
  </si>
  <si>
    <t>Logo Link</t>
  </si>
  <si>
    <t>Falcon Rest</t>
  </si>
  <si>
    <t>Falcon Rest.com</t>
  </si>
  <si>
    <t>Falcon,1253.Adas,India,54652</t>
  </si>
  <si>
    <t>Items Name</t>
  </si>
  <si>
    <t>Social Media</t>
  </si>
  <si>
    <t>Review Map</t>
  </si>
  <si>
    <t>https://www.instagram.com,https://maps.app.goo.gl/AHQsZChqfBk3TTuV8</t>
  </si>
  <si>
    <t>Game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</si>
  <si>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</si>
  <si>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</si>
  <si>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</si>
  <si>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</si>
  <si>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</si>
  <si>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</si>
  <si>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</si>
  <si>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</si>
  <si>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</si>
  <si>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</si>
  <si>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ITM011</t>
  </si>
  <si>
    <t>ITM012</t>
  </si>
  <si>
    <t>ITM013</t>
  </si>
  <si>
    <t>ITM014</t>
  </si>
  <si>
    <t>ITM015</t>
  </si>
  <si>
    <t>ITM016</t>
  </si>
  <si>
    <t>ITM017</t>
  </si>
  <si>
    <t>ITM018</t>
  </si>
  <si>
    <t>ITM019</t>
  </si>
  <si>
    <t>ITM020</t>
  </si>
  <si>
    <t>ITM023</t>
  </si>
  <si>
    <t>Related IDs</t>
  </si>
  <si>
    <t>Flash cards</t>
  </si>
  <si>
    <t>Review social and Map</t>
  </si>
  <si>
    <t>ItemID</t>
  </si>
  <si>
    <t>ITM021</t>
  </si>
  <si>
    <t>Breads</t>
  </si>
  <si>
    <t>Kerala Porotta</t>
  </si>
  <si>
    <t>Flour 500g, Water 200ml, Oil 2ts, Salt 1gm</t>
  </si>
  <si>
    <t>ITM022</t>
  </si>
  <si>
    <t>Idiyappam</t>
  </si>
  <si>
    <t>Traditional steamed rice string hoppers</t>
  </si>
  <si>
    <t>Rice flour 200g, Water 100ml, Salt 1gm</t>
  </si>
  <si>
    <t>Curry</t>
  </si>
  <si>
    <t>Kadala Curry</t>
  </si>
  <si>
    <t>Spicy black chickpea curry</t>
  </si>
  <si>
    <t>Chickpeas 200g, Onion 2, Spices 10g</t>
  </si>
  <si>
    <t>ITM024</t>
  </si>
  <si>
    <t>Egg Roast</t>
  </si>
  <si>
    <t>Boiled eggs in a rich tomato-onion gravy</t>
  </si>
  <si>
    <t>Eggs 2, Onion 2, Tomato 1, Spices 10g</t>
  </si>
  <si>
    <t>ITM025</t>
  </si>
  <si>
    <t>Tiffin</t>
  </si>
  <si>
    <t>Masala Dosa</t>
  </si>
  <si>
    <t>Crispy crepe stuffed with spiced potatoes</t>
  </si>
  <si>
    <t>Rice batter 200ml, Potato 100g, Oil 1ts</t>
  </si>
  <si>
    <t>ITM026</t>
  </si>
  <si>
    <t>Ghee Rice (Neychoru)</t>
  </si>
  <si>
    <t>Fragrant Kaima rice cooked in pure ghee</t>
  </si>
  <si>
    <t>Kaima Rice 500g, Ghee 50g, Spices 5g</t>
  </si>
  <si>
    <t>ITM027</t>
  </si>
  <si>
    <t>Pothichoru</t>
  </si>
  <si>
    <t>Traditional meal wrapped in a banana leaf</t>
  </si>
  <si>
    <t>Rice 300g, Veg Curries, Omelette, Pickle</t>
  </si>
  <si>
    <t>ITM028</t>
  </si>
  <si>
    <t>Seafood</t>
  </si>
  <si>
    <t>Ayala Fish Curry</t>
  </si>
  <si>
    <t>Mackerel fish in spicy red tamarind curry</t>
  </si>
  <si>
    <t>Mackerel 250g, Kokum 2, Chilli powder 10g</t>
  </si>
  <si>
    <t>ITM029</t>
  </si>
  <si>
    <t>Fish Pollichathu</t>
  </si>
  <si>
    <t>Karimeen 1, Masala 50g, Coconut oil 2ts</t>
  </si>
  <si>
    <t>ITM030</t>
  </si>
  <si>
    <t>Arabian</t>
  </si>
  <si>
    <t>Charcoal-grilled Arabic marinated chicken</t>
  </si>
  <si>
    <t>Chicken 500g, Arabic Spices 20g, Oil 2ts</t>
  </si>
  <si>
    <t>ITM031</t>
  </si>
  <si>
    <t>Chicken Shawarma</t>
  </si>
  <si>
    <t>Slices of roasted chicken wrapped in kuboos</t>
  </si>
  <si>
    <t>Chicken 150g, Kuboos 1, Garlic Paste 20g</t>
  </si>
  <si>
    <t>ITM032</t>
  </si>
  <si>
    <t>Chicken 400g, Flour 100g, Oil for frying</t>
  </si>
  <si>
    <t>ITM033</t>
  </si>
  <si>
    <t>Beef Roast (Nadan)</t>
  </si>
  <si>
    <t>Spicy Kerala-style dry beef roast</t>
  </si>
  <si>
    <t>Beef 300g, Onion 2, Coconut slices 50g</t>
  </si>
  <si>
    <t>ITM034</t>
  </si>
  <si>
    <t>Mutton Curry</t>
  </si>
  <si>
    <t>Mutton 300g, Onion 2, Tomato 1, Spices 15g</t>
  </si>
  <si>
    <t>ITM035</t>
  </si>
  <si>
    <t>Nadan Pathiri</t>
  </si>
  <si>
    <t>Soft, thin roasted rice flour flatbread</t>
  </si>
  <si>
    <t>Rice flour 200g, Water 150ml, Salt 1gm</t>
  </si>
  <si>
    <t>ITM036</t>
  </si>
  <si>
    <t>Fresh Lemon Mint</t>
  </si>
  <si>
    <t>Refreshing blended lemon and mint cooler</t>
  </si>
  <si>
    <t>Lemon 2, Mint leaves 10, Sugar 20g</t>
  </si>
  <si>
    <t>ITM037</t>
  </si>
  <si>
    <t>Shakes</t>
  </si>
  <si>
    <t>Sharjah Shake</t>
  </si>
  <si>
    <t>Classic banana and milk shake with malt</t>
  </si>
  <si>
    <t>Milk 200ml, Banana 1, Horlicks 2ts</t>
  </si>
  <si>
    <t>ITM038</t>
  </si>
  <si>
    <t>Sulaimani</t>
  </si>
  <si>
    <t>Spiced black tea with a drop of lemon</t>
  </si>
  <si>
    <t>ITM039</t>
  </si>
  <si>
    <t>Dessert</t>
  </si>
  <si>
    <t>Mixed fresh seasonal fruits with vanilla</t>
  </si>
  <si>
    <t>Fruits 150g, Ice cream 1 scoop, Nuts 10g</t>
  </si>
  <si>
    <t>ITM040</t>
  </si>
  <si>
    <t>Layered rose milk dessert with vermicelli</t>
  </si>
  <si>
    <t>Milk 200ml, Vermicelli 20g, Basil seeds 10g</t>
  </si>
  <si>
    <t>ITM041</t>
  </si>
  <si>
    <t>Mixed Grill</t>
  </si>
  <si>
    <t>Assortment of kebabs and grilled meats</t>
  </si>
  <si>
    <t>Mutton 100g, Chicken 200g, Beef 100g</t>
  </si>
  <si>
    <t>ITM042</t>
  </si>
  <si>
    <t>Butter Chicken</t>
  </si>
  <si>
    <t>Creamy tomato-based chicken curry</t>
  </si>
  <si>
    <t>Chicken 300g, Butter 50g, Tomato puree</t>
  </si>
  <si>
    <t>ITM043</t>
  </si>
  <si>
    <t>Plain Dosa</t>
  </si>
  <si>
    <t>Thin and crispy savory rice crepe</t>
  </si>
  <si>
    <t>Rice batter 200ml, Oil 1ts</t>
  </si>
  <si>
    <t>ITM044</t>
  </si>
  <si>
    <t>Fish Meals</t>
  </si>
  <si>
    <t>Standard rice meal with daily fish fry</t>
  </si>
  <si>
    <t>Rice 300g, Veg Curries, Fish Fry 1 pc</t>
  </si>
  <si>
    <t>ITM045</t>
  </si>
  <si>
    <t>Avocado Shake</t>
  </si>
  <si>
    <t>Creamy fresh avocado blended with milk</t>
  </si>
  <si>
    <t>Avocado 1, Milk 200ml, Honey 1ts</t>
  </si>
  <si>
    <t>Traditional steamed rice flour cylinder</t>
  </si>
  <si>
    <t>Rice flour 500g, Coconut 100g, Water, Salt</t>
  </si>
  <si>
    <t>Soft, lace-edged fermented rice pancake</t>
  </si>
  <si>
    <t>Rice 500g, Coconut milk 200ml, Yeast, Sugar</t>
  </si>
  <si>
    <t>Flaky, multi-layered roasted flatbread</t>
  </si>
  <si>
    <t>Traditional boiled matta rice</t>
  </si>
  <si>
    <t>Matta Rice 1KG, Water, Salt</t>
  </si>
  <si>
    <t>Premium white long-grain rice</t>
  </si>
  <si>
    <t>White Rice 1KG, Water, Salt</t>
  </si>
  <si>
    <t>Biriyani Rice</t>
  </si>
  <si>
    <t>Flavorful spiced basmati rice</t>
  </si>
  <si>
    <t>Basmati 1KG, Spices 20g, Ghee 50g</t>
  </si>
  <si>
    <t>Authentic Malabar style chicken biriyani</t>
  </si>
  <si>
    <t>Rice 500g, Chicken 300g, Spices 25g</t>
  </si>
  <si>
    <t>Spicy, aromatic beef biriyani</t>
  </si>
  <si>
    <t>Rice 500g, Beef 300g, Spices 30g</t>
  </si>
  <si>
    <t>Pearl spot fish roasted in banana leaves</t>
  </si>
  <si>
    <t>Alfaham Chicken</t>
  </si>
  <si>
    <t>Broasted Chicken</t>
  </si>
  <si>
    <t>Crispy fried chicken (4 Pcs) with fries</t>
  </si>
  <si>
    <t>Crispy pan-fried beef with curry leaves</t>
  </si>
  <si>
    <t>Beef 250g, Spices 15g, Coconut Oil</t>
  </si>
  <si>
    <t>Tender mutton pieces in a rich gravy</t>
  </si>
  <si>
    <t>Deep-fried spiced chicken pieces</t>
  </si>
  <si>
    <t>Chicken 250g, Spices 20g, Oil for frying</t>
  </si>
  <si>
    <t>Normal Tea (Black)</t>
  </si>
  <si>
    <t>Classic brewed black tea</t>
  </si>
  <si>
    <t>Water 150ml, Tea Leaves 5g, Sugar 10g</t>
  </si>
  <si>
    <t>Milk Tea</t>
  </si>
  <si>
    <t>Rich brewed tea with fresh milk</t>
  </si>
  <si>
    <t>Milk 100ml, Water 50ml, Tea Leaves, Sugar</t>
  </si>
  <si>
    <t>Water 150ml, Tea, Lemon, Cardamom</t>
  </si>
  <si>
    <t>Black Coffee</t>
  </si>
  <si>
    <t>Strong brewed black coffee</t>
  </si>
  <si>
    <t>Water 150ml, Coffee Powder 10g, Sugar</t>
  </si>
  <si>
    <t>Milk Coffee</t>
  </si>
  <si>
    <t>Hot coffee brewed with fresh milk</t>
  </si>
  <si>
    <t>Milk 150ml, Coffee Powder 10g, Sugar</t>
  </si>
  <si>
    <t>Water Cup 250ml</t>
  </si>
  <si>
    <t>Sealed purified drinking water cup</t>
  </si>
  <si>
    <t>100% Purified Water</t>
  </si>
  <si>
    <t>Water Bottle 500ml</t>
  </si>
  <si>
    <t>Purified bottled drinking water</t>
  </si>
  <si>
    <t>Water Bottle 1Ltr</t>
  </si>
  <si>
    <t>Large purified bottled drinking water</t>
  </si>
  <si>
    <t>Soft Drinks</t>
  </si>
  <si>
    <t>Pepsi 330ml</t>
  </si>
  <si>
    <t>Chilled carbonated cola beverage</t>
  </si>
  <si>
    <t>Carbonated Water, Sugar, Color, Flavor</t>
  </si>
  <si>
    <t>Coca-Cola 330ml</t>
  </si>
  <si>
    <t>7 Up 330ml</t>
  </si>
  <si>
    <t>Chilled lemon-lime carbonated beverage</t>
  </si>
  <si>
    <t>Carbonated Water, Sugar, Lemon Flavor</t>
  </si>
  <si>
    <t>Mirinda 330ml</t>
  </si>
  <si>
    <t>Chilled orange carbonated beverage</t>
  </si>
  <si>
    <t>Carbonated Water, Sugar, Orange Flavor</t>
  </si>
  <si>
    <t>Kinza Cola 330ml</t>
  </si>
  <si>
    <t>Local premium carbonated cola</t>
  </si>
  <si>
    <t>Kinza Citrus 330ml</t>
  </si>
  <si>
    <t>Local premium citrus soda</t>
  </si>
  <si>
    <t>Carbonated Water, Sugar, Citrus Flavor</t>
  </si>
  <si>
    <t>Fresh Orange Juice</t>
  </si>
  <si>
    <t>Freshly squeezed orange juice</t>
  </si>
  <si>
    <t>Fresh Oranges 3 pcs, Sugar syrup</t>
  </si>
  <si>
    <t>Fresh Mango Juice</t>
  </si>
  <si>
    <t>Thick, sweet blended mango juice</t>
  </si>
  <si>
    <t>Fresh Mango 1, Water 50ml, Sugar syrup</t>
  </si>
  <si>
    <t>ITM046</t>
  </si>
  <si>
    <t>ITM047</t>
  </si>
  <si>
    <t>ITM048</t>
  </si>
  <si>
    <t>Vanilla Ice Cream</t>
  </si>
  <si>
    <t>Classic creamy vanilla ice cream (2 Scoops)</t>
  </si>
  <si>
    <t>Cream, Milk, Sugar, Vanilla Extract</t>
  </si>
  <si>
    <t>ITM049</t>
  </si>
  <si>
    <t>Strawberry Ice Cream</t>
  </si>
  <si>
    <t>Sweet strawberry ice cream (2 Scoops)</t>
  </si>
  <si>
    <t>Cream, Milk, Sugar, Strawberry puree</t>
  </si>
  <si>
    <t>ITM050</t>
  </si>
  <si>
    <t>Sweets</t>
  </si>
  <si>
    <t>Fruit Salad w/ Ice Cream</t>
  </si>
  <si>
    <t>ITM051</t>
  </si>
  <si>
    <t>Royal Falooda</t>
  </si>
  <si>
    <t>1. The Perfect Image Size &amp; Ratio</t>
  </si>
  <si>
    <t>Consistency is the most important rule. Pick one aspect ratio and use it for every single food item.</t>
  </si>
  <si>
    <r>
      <t>Aspect Ratio: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4:3</t>
    </r>
    <r>
      <rPr>
        <sz val="11"/>
        <color theme="1"/>
        <rFont val="Aptos Narrow"/>
        <family val="2"/>
        <scheme val="minor"/>
      </rPr>
      <t xml:space="preserve"> (Landscape) or </t>
    </r>
    <r>
      <rPr>
        <b/>
        <sz val="11"/>
        <color theme="1"/>
        <rFont val="Aptos Narrow"/>
        <family val="2"/>
        <scheme val="minor"/>
      </rPr>
      <t>1:1</t>
    </r>
    <r>
      <rPr>
        <sz val="11"/>
        <color theme="1"/>
        <rFont val="Aptos Narrow"/>
        <family val="2"/>
        <scheme val="minor"/>
      </rPr>
      <t xml:space="preserve"> (Square) work best for your card layouts.</t>
    </r>
  </si>
  <si>
    <r>
      <t>Dimensions: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800 x 600 pixels</t>
    </r>
    <r>
      <rPr>
        <sz val="11"/>
        <color theme="1"/>
        <rFont val="Aptos Narrow"/>
        <family val="2"/>
        <scheme val="minor"/>
      </rPr>
      <t xml:space="preserve"> (for 4:3) or </t>
    </r>
    <r>
      <rPr>
        <b/>
        <sz val="11"/>
        <color theme="1"/>
        <rFont val="Aptos Narrow"/>
        <family val="2"/>
        <scheme val="minor"/>
      </rPr>
      <t>800 x 800 pixels</t>
    </r>
    <r>
      <rPr>
        <sz val="11"/>
        <color theme="1"/>
        <rFont val="Aptos Narrow"/>
        <family val="2"/>
        <scheme val="minor"/>
      </rPr>
      <t xml:space="preserve"> (for 1:1).</t>
    </r>
  </si>
  <si>
    <r>
      <t>Why:</t>
    </r>
    <r>
      <rPr>
        <sz val="11"/>
        <color theme="1"/>
        <rFont val="Aptos Narrow"/>
        <family val="2"/>
        <scheme val="minor"/>
      </rPr>
      <t xml:space="preserve"> This resolution is large enough to look crisp when a desktop user clicks to expand the item modal, but small enough that it won't ruin your loading speeds.</t>
    </r>
  </si>
  <si>
    <t>2. File Size &amp; Format (Crucial)</t>
  </si>
  <si>
    <t>Because GitHub Pages is hosting this for free, heavy images will make the app feel sluggish.</t>
  </si>
  <si>
    <r>
      <t>Target File Size:</t>
    </r>
    <r>
      <rPr>
        <sz val="11"/>
        <color theme="1"/>
        <rFont val="Aptos Narrow"/>
        <family val="2"/>
        <scheme val="minor"/>
      </rPr>
      <t xml:space="preserve"> Strictly under </t>
    </r>
    <r>
      <rPr>
        <b/>
        <sz val="11"/>
        <color theme="1"/>
        <rFont val="Aptos Narrow"/>
        <family val="2"/>
        <scheme val="minor"/>
      </rPr>
      <t>150KB</t>
    </r>
    <r>
      <rPr>
        <sz val="11"/>
        <color theme="1"/>
        <rFont val="Aptos Narrow"/>
        <family val="2"/>
        <scheme val="minor"/>
      </rPr>
      <t xml:space="preserve"> per image.</t>
    </r>
  </si>
  <si>
    <r>
      <t>Best Formats:</t>
    </r>
    <r>
      <rPr>
        <sz val="11"/>
        <color theme="1"/>
        <rFont val="Aptos Narrow"/>
        <family val="2"/>
        <scheme val="minor"/>
      </rPr>
      <t xml:space="preserve"> Save your files as </t>
    </r>
    <r>
      <rPr>
        <b/>
        <sz val="11"/>
        <color theme="1"/>
        <rFont val="Aptos Narrow"/>
        <family val="2"/>
        <scheme val="minor"/>
      </rPr>
      <t>WebP</t>
    </r>
    <r>
      <rPr>
        <sz val="11"/>
        <color theme="1"/>
        <rFont val="Aptos Narrow"/>
        <family val="2"/>
        <scheme val="minor"/>
      </rPr>
      <t xml:space="preserve"> or highly compressed </t>
    </r>
    <r>
      <rPr>
        <b/>
        <sz val="11"/>
        <color theme="1"/>
        <rFont val="Aptos Narrow"/>
        <family val="2"/>
        <scheme val="minor"/>
      </rPr>
      <t>JPG</t>
    </r>
    <r>
      <rPr>
        <sz val="11"/>
        <color theme="1"/>
        <rFont val="Aptos Narrow"/>
        <family val="2"/>
        <scheme val="minor"/>
      </rPr>
      <t>. Avoid PNGs unless you absolutely need a transparent background, as they are far too heavy.</t>
    </r>
  </si>
  <si>
    <r>
      <t>Pro Tip:</t>
    </r>
    <r>
      <rPr>
        <sz val="11"/>
        <color theme="1"/>
        <rFont val="Aptos Narrow"/>
        <family val="2"/>
        <scheme val="minor"/>
      </rPr>
      <t xml:space="preserve"> Run your final batches through a compressor like TinyPNG or Squoosh.app before uploading them.</t>
    </r>
  </si>
  <si>
    <t>3. Video Management</t>
  </si>
  <si>
    <r>
      <t xml:space="preserve">Since video files are massive, hosting raw </t>
    </r>
    <r>
      <rPr>
        <sz val="10"/>
        <color theme="1"/>
        <rFont val="Arial Unicode MS"/>
      </rPr>
      <t>.mp4</t>
    </r>
    <r>
      <rPr>
        <sz val="11"/>
        <color theme="1"/>
        <rFont val="Aptos Narrow"/>
        <family val="2"/>
        <scheme val="minor"/>
      </rPr>
      <t xml:space="preserve"> files directly on GitHub will quickly eat up your 100GB monthly bandwidth limit and cause buffering for mobile users on slow connections.</t>
    </r>
  </si>
  <si>
    <r>
      <t>The Best Method:</t>
    </r>
    <r>
      <rPr>
        <sz val="11"/>
        <color theme="1"/>
        <rFont val="Aptos Narrow"/>
        <family val="2"/>
        <scheme val="minor"/>
      </rPr>
      <t xml:space="preserve"> Upload your food videos to YouTube, Vimeo, or Instagram Reels.</t>
    </r>
  </si>
  <si>
    <r>
      <t>How to use them:</t>
    </r>
    <r>
      <rPr>
        <sz val="11"/>
        <color theme="1"/>
        <rFont val="Aptos Narrow"/>
        <family val="2"/>
        <scheme val="minor"/>
      </rPr>
      <t xml:space="preserve"> Simply paste the URL of that uploaded video into the "Video" column (Column L) of your Excel sheet. Your app is already coded to display a "Watch Video" button that smartly links out to it!</t>
    </r>
  </si>
  <si>
    <t>1. Main Promotional Banners (Top Header &amp; Inline Menu Banner)</t>
  </si>
  <si>
    <t>These are the wide banners that stretch across the whole screen (like the one we just injected after the 5th category using Column O).</t>
  </si>
  <si>
    <r>
      <t>Aspect Ratio: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16:9</t>
    </r>
    <r>
      <rPr>
        <sz val="11"/>
        <color theme="1"/>
        <rFont val="Aptos Narrow"/>
        <family val="2"/>
        <scheme val="minor"/>
      </rPr>
      <t xml:space="preserve"> (Widescreen) or </t>
    </r>
    <r>
      <rPr>
        <b/>
        <sz val="11"/>
        <color theme="1"/>
        <rFont val="Aptos Narrow"/>
        <family val="2"/>
        <scheme val="minor"/>
      </rPr>
      <t>3:1</t>
    </r>
    <r>
      <rPr>
        <sz val="11"/>
        <color theme="1"/>
        <rFont val="Aptos Narrow"/>
        <family val="2"/>
        <scheme val="minor"/>
      </rPr>
      <t xml:space="preserve"> (Ultra-wide).</t>
    </r>
  </si>
  <si>
    <r>
      <t>Perfect Dimensions: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1200 x 600 pixels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1200 x 400 pixels</t>
    </r>
    <r>
      <rPr>
        <sz val="11"/>
        <color theme="1"/>
        <rFont val="Aptos Narrow"/>
        <family val="2"/>
        <scheme val="minor"/>
      </rPr>
      <t>.</t>
    </r>
  </si>
  <si>
    <r>
      <t>The "Safe Zone" Rule:</t>
    </r>
    <r>
      <rPr>
        <sz val="11"/>
        <color theme="1"/>
        <rFont val="Aptos Narrow"/>
        <family val="2"/>
        <scheme val="minor"/>
      </rPr>
      <t xml:space="preserve"> Because a mobile phone is tall and narrow, but a desktop monitor is wide, the browser will chop off the far left and far right edges of the banner on mobile. </t>
    </r>
    <r>
      <rPr>
        <b/>
        <sz val="11"/>
        <color theme="1"/>
        <rFont val="Aptos Narrow"/>
        <family val="2"/>
        <scheme val="minor"/>
      </rPr>
      <t>Always put your main focus, text, or logos dead-center in the image</t>
    </r>
    <r>
      <rPr>
        <sz val="11"/>
        <color theme="1"/>
        <rFont val="Aptos Narrow"/>
        <family val="2"/>
        <scheme val="minor"/>
      </rPr>
      <t xml:space="preserve"> so they never get cropped out.</t>
    </r>
  </si>
  <si>
    <r>
      <t>Max File Size:</t>
    </r>
    <r>
      <rPr>
        <sz val="11"/>
        <color theme="1"/>
        <rFont val="Aptos Narrow"/>
        <family val="2"/>
        <scheme val="minor"/>
      </rPr>
      <t xml:space="preserve"> Keep these under </t>
    </r>
    <r>
      <rPr>
        <b/>
        <sz val="11"/>
        <color theme="1"/>
        <rFont val="Aptos Narrow"/>
        <family val="2"/>
        <scheme val="minor"/>
      </rPr>
      <t>250KB</t>
    </r>
    <r>
      <rPr>
        <sz val="11"/>
        <color theme="1"/>
        <rFont val="Aptos Narrow"/>
        <family val="2"/>
        <scheme val="minor"/>
      </rPr>
      <t>.</t>
    </r>
  </si>
  <si>
    <t>2. Offer Banners (The Sliding Carousel Cards)</t>
  </si>
  <si>
    <t>These are the cards that slide at the top of the menu. They don't stretch the full width of the screen; they sit inside a rounded card container.</t>
  </si>
  <si>
    <r>
      <t>Aspect Ratio: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16:9</t>
    </r>
    <r>
      <rPr>
        <sz val="11"/>
        <color theme="1"/>
        <rFont val="Aptos Narrow"/>
        <family val="2"/>
        <scheme val="minor"/>
      </rPr>
      <t xml:space="preserve"> (Standard Widescreen).</t>
    </r>
  </si>
  <si>
    <r>
      <t>Perfect Dimensions: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800 x 450 pixels</t>
    </r>
    <r>
      <rPr>
        <sz val="11"/>
        <color theme="1"/>
        <rFont val="Aptos Narrow"/>
        <family val="2"/>
        <scheme val="minor"/>
      </rPr>
      <t>.</t>
    </r>
  </si>
  <si>
    <r>
      <t>Design Tip:</t>
    </r>
    <r>
      <rPr>
        <sz val="11"/>
        <color theme="1"/>
        <rFont val="Aptos Narrow"/>
        <family val="2"/>
        <scheme val="minor"/>
      </rPr>
      <t xml:space="preserve"> Since we added a dark, semi-transparent overlay over these images so the white offer text is readable, make sure the original images you upload are bright and high-contrast! If you are designing the text </t>
    </r>
    <r>
      <rPr>
        <i/>
        <sz val="11"/>
        <color theme="1"/>
        <rFont val="Aptos Narrow"/>
        <family val="2"/>
        <scheme val="minor"/>
      </rPr>
      <t>directly onto the image itself</t>
    </r>
    <r>
      <rPr>
        <sz val="11"/>
        <color theme="1"/>
        <rFont val="Aptos Narrow"/>
        <family val="2"/>
        <scheme val="minor"/>
      </rPr>
      <t xml:space="preserve"> (like a Photoshop flyer), leave the Excel text columns (B, C, D, E) completely blank so the code doesn't write text over your graphic.</t>
    </r>
  </si>
  <si>
    <r>
      <t>Max File Size:</t>
    </r>
    <r>
      <rPr>
        <sz val="11"/>
        <color theme="1"/>
        <rFont val="Aptos Narrow"/>
        <family val="2"/>
        <scheme val="minor"/>
      </rPr>
      <t xml:space="preserve"> Keep these under </t>
    </r>
    <r>
      <rPr>
        <b/>
        <sz val="11"/>
        <color theme="1"/>
        <rFont val="Aptos Narrow"/>
        <family val="2"/>
        <scheme val="minor"/>
      </rPr>
      <t>150KB</t>
    </r>
    <r>
      <rPr>
        <sz val="11"/>
        <color theme="1"/>
        <rFont val="Aptos Narrow"/>
        <family val="2"/>
        <scheme val="minor"/>
      </rPr>
      <t>.</t>
    </r>
  </si>
  <si>
    <t>ITM052</t>
  </si>
  <si>
    <t>ITM053</t>
  </si>
  <si>
    <t>ITM054</t>
  </si>
  <si>
    <t>ITM055</t>
  </si>
  <si>
    <t>ITM056</t>
  </si>
  <si>
    <t>ITM057</t>
  </si>
  <si>
    <t>ITM058</t>
  </si>
  <si>
    <t>ITM059</t>
  </si>
  <si>
    <t>ITM060</t>
  </si>
  <si>
    <t>ITM061</t>
  </si>
  <si>
    <t>ITM062</t>
  </si>
  <si>
    <t>ITM063</t>
  </si>
  <si>
    <t>ITM064</t>
  </si>
  <si>
    <t>ITM065</t>
  </si>
  <si>
    <t>ITM066</t>
  </si>
  <si>
    <t>ITM067</t>
  </si>
  <si>
    <t>ITM068</t>
  </si>
  <si>
    <t>ITM069</t>
  </si>
  <si>
    <t>ITM070</t>
  </si>
  <si>
    <t>ITM071</t>
  </si>
  <si>
    <t>ITM072</t>
  </si>
  <si>
    <t>ITM073</t>
  </si>
  <si>
    <t>ITM074</t>
  </si>
  <si>
    <t>ITM075</t>
  </si>
  <si>
    <t>ITM076</t>
  </si>
  <si>
    <t>ITM077</t>
  </si>
  <si>
    <t>ITM078</t>
  </si>
  <si>
    <t>ITM079</t>
  </si>
  <si>
    <t>ITM080</t>
  </si>
  <si>
    <t>ITM081</t>
  </si>
  <si>
    <t>ITM082</t>
  </si>
  <si>
    <t>ITM083</t>
  </si>
  <si>
    <t>ITM084</t>
  </si>
  <si>
    <t>ITM085</t>
  </si>
  <si>
    <t>ITM086</t>
  </si>
  <si>
    <t>ITM087</t>
  </si>
  <si>
    <t>ITM088</t>
  </si>
  <si>
    <t>ITM089</t>
  </si>
  <si>
    <t>ITM090</t>
  </si>
  <si>
    <t>ITM091</t>
  </si>
  <si>
    <t>ITM092</t>
  </si>
  <si>
    <t>ITM093</t>
  </si>
  <si>
    <t>ITM094</t>
  </si>
  <si>
    <t>ITM095</t>
  </si>
  <si>
    <t>ITM096</t>
  </si>
  <si>
    <t>ITM097</t>
  </si>
  <si>
    <t>ITM098</t>
  </si>
  <si>
    <t>ITM099</t>
  </si>
  <si>
    <t>ITM100</t>
  </si>
  <si>
    <t>ITM101</t>
  </si>
  <si>
    <t>ITM102</t>
  </si>
  <si>
    <t>ITM103</t>
  </si>
  <si>
    <t>ITM104</t>
  </si>
  <si>
    <t>ITM105</t>
  </si>
  <si>
    <t>ITM106</t>
  </si>
  <si>
    <t>ITM107</t>
  </si>
  <si>
    <t>ITM108</t>
  </si>
  <si>
    <t>ITM109</t>
  </si>
  <si>
    <t>ITM110</t>
  </si>
  <si>
    <t>ITM111</t>
  </si>
  <si>
    <t>ITM112</t>
  </si>
  <si>
    <t>ITM113</t>
  </si>
  <si>
    <t>ITM114</t>
  </si>
  <si>
    <t>ITM115</t>
  </si>
  <si>
    <t>ITM116</t>
  </si>
  <si>
    <t>ITM117</t>
  </si>
  <si>
    <t>ITM118</t>
  </si>
  <si>
    <t>ITM119</t>
  </si>
  <si>
    <t>ITM120</t>
  </si>
  <si>
    <t>ITM121</t>
  </si>
  <si>
    <t>ITM122</t>
  </si>
  <si>
    <t>ITM123</t>
  </si>
  <si>
    <t>ITM124</t>
  </si>
  <si>
    <t>ITM125</t>
  </si>
  <si>
    <t>ITM126</t>
  </si>
  <si>
    <t>ITM127</t>
  </si>
  <si>
    <t>ITM128</t>
  </si>
  <si>
    <t>ITM129</t>
  </si>
  <si>
    <t>ITM130</t>
  </si>
  <si>
    <t>ITM131</t>
  </si>
  <si>
    <t>ITM132</t>
  </si>
  <si>
    <t>ITM133</t>
  </si>
  <si>
    <t>ITM134</t>
  </si>
  <si>
    <t>ITM135</t>
  </si>
  <si>
    <t>ITM136</t>
  </si>
  <si>
    <t>ITM137</t>
  </si>
  <si>
    <t>ITM138</t>
  </si>
  <si>
    <t>ITM139</t>
  </si>
  <si>
    <t>ITM140</t>
  </si>
  <si>
    <t>ITM141</t>
  </si>
  <si>
    <t>ITM142</t>
  </si>
  <si>
    <t>ITM143</t>
  </si>
  <si>
    <t>ITM144</t>
  </si>
  <si>
    <t>ITM145</t>
  </si>
  <si>
    <t>ITM146</t>
  </si>
  <si>
    <t>ITM147</t>
  </si>
  <si>
    <t>ITM148</t>
  </si>
  <si>
    <t>ITM149</t>
  </si>
  <si>
    <t>ITM150</t>
  </si>
  <si>
    <t>ITM151</t>
  </si>
  <si>
    <t>ITM152</t>
  </si>
  <si>
    <t>ITM153</t>
  </si>
  <si>
    <t>ITM154</t>
  </si>
  <si>
    <t>ITM155</t>
  </si>
  <si>
    <t>ITM156</t>
  </si>
  <si>
    <t>ITM157</t>
  </si>
  <si>
    <t>ITM158</t>
  </si>
  <si>
    <t>ITM159</t>
  </si>
  <si>
    <t>ITM160</t>
  </si>
  <si>
    <t>ITM161</t>
  </si>
  <si>
    <t>ITM162</t>
  </si>
  <si>
    <t>ITM163</t>
  </si>
  <si>
    <t>ITM164</t>
  </si>
  <si>
    <t>ITM165</t>
  </si>
  <si>
    <t>ITM166</t>
  </si>
  <si>
    <t>ITM167</t>
  </si>
  <si>
    <t>ITM168</t>
  </si>
  <si>
    <t>ITM169</t>
  </si>
  <si>
    <t>ITM170</t>
  </si>
  <si>
    <t>ITM171</t>
  </si>
  <si>
    <t>ITM172</t>
  </si>
  <si>
    <t>ITM173</t>
  </si>
  <si>
    <t>ITM174</t>
  </si>
  <si>
    <t>ITM175</t>
  </si>
  <si>
    <t>ITM176</t>
  </si>
  <si>
    <t>ITM177</t>
  </si>
  <si>
    <t>ITM178</t>
  </si>
  <si>
    <t>ITM179</t>
  </si>
  <si>
    <t>ITM180</t>
  </si>
  <si>
    <t>ITM181</t>
  </si>
  <si>
    <t>ITM182</t>
  </si>
  <si>
    <t>ITM183</t>
  </si>
  <si>
    <t>ITM184</t>
  </si>
  <si>
    <t>ITM185</t>
  </si>
  <si>
    <t>ITM186</t>
  </si>
  <si>
    <t>ITM187</t>
  </si>
  <si>
    <t>ITM188</t>
  </si>
  <si>
    <t>ITM189</t>
  </si>
  <si>
    <t>ITM190</t>
  </si>
  <si>
    <t>ITM191</t>
  </si>
  <si>
    <t>ITM192</t>
  </si>
  <si>
    <t>ITM193</t>
  </si>
  <si>
    <t>ITM194</t>
  </si>
  <si>
    <t>ITM195</t>
  </si>
  <si>
    <t>ITM196</t>
  </si>
  <si>
    <t>ITM197</t>
  </si>
  <si>
    <t>ITM198</t>
  </si>
  <si>
    <t>ITM199</t>
  </si>
  <si>
    <t>ITM200</t>
  </si>
  <si>
    <t>https://raw.githubusercontent.com/Rmoosa2014/Restaurant-menu/main/images/ItemImages/ITM001.jpg</t>
  </si>
  <si>
    <t>https://raw.githubusercontent.com/Rmoosa2014/Restaurant-menu/main/images/ItemImages/ITM001.jpg,https://raw.githubusercontent.com/Rmoosa2014/Restaurant-menu/main/images/ItemImages/ITM001.jpg,https://raw.githubusercontent.com/Rmoosa2014/Restaurant-menu/main/images/ItemImages/ITM001.jpg</t>
  </si>
  <si>
    <t>Current File</t>
  </si>
  <si>
    <t>Sounds Like</t>
  </si>
  <si>
    <t>Suggested Original/Library Name</t>
  </si>
  <si>
    <t>SFX06.mp3</t>
  </si>
  <si>
    <t>Short digital impact with a soft electronic pulse; good as a UI confirmation or logo hit.</t>
  </si>
  <si>
    <t>SFX07.mp3</t>
  </si>
  <si>
    <t>Long futuristic energy sweep with rising motion and a cinematic sci-fi feel. Suitable for transitions or reveals.</t>
  </si>
  <si>
    <t>SFX08.mp3</t>
  </si>
  <si>
    <t>Fast electronic whoosh with a clean finish; ideal for motion graphics or object movement.</t>
  </si>
  <si>
    <t>SFX09.mp3</t>
  </si>
  <si>
    <t>Mechanical/electronic movement with a subtle impact at the end. Feels like a device activating or interface animation.</t>
  </si>
  <si>
    <t>SFX10.mp3</t>
  </si>
  <si>
    <t>Bright sparkle/chime with a magical or premium notification feeling.</t>
  </si>
  <si>
    <t>SFX12.mp3</t>
  </si>
  <si>
    <t>Short cinematic hit with a low electronic punch. Great for emphasis or logo animations.</t>
  </si>
  <si>
    <t>UI_Click_Impact, Digital_Pop_Hit, Electronic_Tap</t>
  </si>
  <si>
    <t>SciFi_Riser, Energy_Sweep, Whoosh_Rise_Long, Future_Transition</t>
  </si>
  <si>
    <t>Whoosh_Fast, Digital_Swish, Air_Sweep, Transition_Whoosh</t>
  </si>
  <si>
    <t>Tech_Move, Mechanical_Servo, UI_Transform, Digital_Movement</t>
  </si>
  <si>
    <t>Magic_Chime, Success_Ding, Sparkle, Notification_Positive</t>
  </si>
  <si>
    <t>Logo_Hit, Impact_Short, Trailer_Hit_Light, Cinematic_Punch</t>
  </si>
  <si>
    <t>Female voice saying "Delicious!" with an energetic, positive tone. Great for food games or reward feedback.</t>
  </si>
  <si>
    <t>VO_Female_Delicious, Female_Delicious_01, Voice_Delicious, Announcer_Delicious</t>
  </si>
  <si>
    <t>Rapid score counting/tally sound with ascending UI ticks. Common after completing a level or counting points.</t>
  </si>
  <si>
    <t>Score_Tally, Points_Count, Score_Count_Up, Tally_Count, Arcade_Score</t>
  </si>
  <si>
    <t>Cartoon-style explosion/impact with a punchy finish. More playful than realistic.</t>
  </si>
  <si>
    <t>Cartoon_Blast, Explosion_Light, Impact_Blast, Arcade_Explosion</t>
  </si>
  <si>
    <t>Short success sound indicating a match or completed action. Bright and satisfying.</t>
  </si>
  <si>
    <t>Match_Success, Puzzle_Match, Success_Plop, Correct_Match</t>
  </si>
  <si>
    <t>Clean UI button click with a soft electronic confirmation.</t>
  </si>
  <si>
    <t>UI_Click, Button_Click, Interface_Click, Menu_Select</t>
  </si>
  <si>
    <t>Female voice saying "Moonstruck!" in a cheerful, game-show style. Likely a reward or themed announcement.</t>
  </si>
  <si>
    <t>VO_Female_Moonstruck, Female_Moonstruck, Voice_Moonstruck, Announcer_Moonstruck</t>
  </si>
  <si>
    <t>SFX05.mp3</t>
  </si>
  <si>
    <t>SFX11.mp3</t>
  </si>
  <si>
    <t>SFX04.mp3</t>
  </si>
  <si>
    <t>SFX03.mp3</t>
  </si>
  <si>
    <t>SFX02.mp3</t>
  </si>
  <si>
    <t>SFX01.mp3</t>
  </si>
  <si>
    <t>Image Type</t>
  </si>
  <si>
    <t>Excel Column / Location</t>
  </si>
  <si>
    <t>Aspect Ratio</t>
  </si>
  <si>
    <t>AI Prompt Tag</t>
  </si>
  <si>
    <t>Recommended Resolution</t>
  </si>
  <si>
    <t>Max File Size</t>
  </si>
  <si>
    <t>Brand Logo</t>
  </si>
  <si>
    <r>
      <t xml:space="preserve">Branding Sheet: </t>
    </r>
    <r>
      <rPr>
        <sz val="5"/>
        <color rgb="FF1F1F1F"/>
        <rFont val="Google Sans Text"/>
        <family val="2"/>
      </rPr>
      <t>Column N</t>
    </r>
  </si>
  <si>
    <r>
      <t>1:1</t>
    </r>
    <r>
      <rPr>
        <sz val="11"/>
        <color rgb="FF1F1F1F"/>
        <rFont val="Arial"/>
        <family val="2"/>
      </rPr>
      <t xml:space="preserve"> (Square)</t>
    </r>
  </si>
  <si>
    <t>--ar 1:1</t>
  </si>
  <si>
    <t>512 x 512 px</t>
  </si>
  <si>
    <t>&lt; 100 KB</t>
  </si>
  <si>
    <t>Menu Items (Main)</t>
  </si>
  <si>
    <r>
      <t xml:space="preserve">Menu Sheets: </t>
    </r>
    <r>
      <rPr>
        <sz val="5"/>
        <color rgb="FF1F1F1F"/>
        <rFont val="Google Sans Text"/>
        <family val="2"/>
      </rPr>
      <t>Column K</t>
    </r>
    <r>
      <rPr>
        <sz val="11"/>
        <color rgb="FF1F1F1F"/>
        <rFont val="Arial"/>
        <family val="2"/>
      </rPr>
      <t xml:space="preserve"> or </t>
    </r>
    <r>
      <rPr>
        <sz val="5"/>
        <color rgb="FF1F1F1F"/>
        <rFont val="Google Sans Text"/>
        <family val="2"/>
      </rPr>
      <t>ItemImages</t>
    </r>
  </si>
  <si>
    <r>
      <t>4:3</t>
    </r>
    <r>
      <rPr>
        <sz val="11"/>
        <color rgb="FF1F1F1F"/>
        <rFont val="Arial"/>
        <family val="2"/>
      </rPr>
      <t xml:space="preserve"> (Standard Photo)</t>
    </r>
  </si>
  <si>
    <t>--ar 4:3</t>
  </si>
  <si>
    <t>800 x 600 px</t>
  </si>
  <si>
    <t>&lt; 150 KB</t>
  </si>
  <si>
    <t>Offer Carousel Backgrounds</t>
  </si>
  <si>
    <r>
      <t xml:space="preserve">Offers Sheet: </t>
    </r>
    <r>
      <rPr>
        <sz val="5"/>
        <color rgb="FF1F1F1F"/>
        <rFont val="Google Sans Text"/>
        <family val="2"/>
      </rPr>
      <t>Column F</t>
    </r>
  </si>
  <si>
    <r>
      <t>16:9</t>
    </r>
    <r>
      <rPr>
        <sz val="11"/>
        <color rgb="FF1F1F1F"/>
        <rFont val="Arial"/>
        <family val="2"/>
      </rPr>
      <t xml:space="preserve"> (Widescreen)</t>
    </r>
  </si>
  <si>
    <t>--ar 16:9</t>
  </si>
  <si>
    <t>800 x 450 px</t>
  </si>
  <si>
    <t>Inline Category Banner</t>
  </si>
  <si>
    <r>
      <t xml:space="preserve">Branding Sheet: </t>
    </r>
    <r>
      <rPr>
        <sz val="5"/>
        <color rgb="FF1F1F1F"/>
        <rFont val="Google Sans Text"/>
        <family val="2"/>
      </rPr>
      <t>Column O</t>
    </r>
  </si>
  <si>
    <r>
      <t>21:9</t>
    </r>
    <r>
      <rPr>
        <sz val="11"/>
        <color rgb="FF1F1F1F"/>
        <rFont val="Arial"/>
        <family val="2"/>
      </rPr>
      <t xml:space="preserve"> (Ultra-Wide)</t>
    </r>
  </si>
  <si>
    <t>--ar 21:9</t>
  </si>
  <si>
    <t>1200 x 400 px</t>
  </si>
  <si>
    <t>&lt; 200 KB</t>
  </si>
  <si>
    <t>Screensaver Flashcards</t>
  </si>
  <si>
    <r>
      <t xml:space="preserve">Menu Sheets: </t>
    </r>
    <r>
      <rPr>
        <sz val="5"/>
        <color rgb="FF1F1F1F"/>
        <rFont val="Google Sans Text"/>
        <family val="2"/>
      </rPr>
      <t>Column N</t>
    </r>
    <r>
      <rPr>
        <sz val="11"/>
        <color rgb="FF1F1F1F"/>
        <rFont val="Arial"/>
        <family val="2"/>
      </rPr>
      <t xml:space="preserve"> or </t>
    </r>
    <r>
      <rPr>
        <sz val="5"/>
        <color rgb="FF1F1F1F"/>
        <rFont val="Google Sans Text"/>
        <family val="2"/>
      </rPr>
      <t>FlashCard</t>
    </r>
  </si>
  <si>
    <r>
      <t>9:16</t>
    </r>
    <r>
      <rPr>
        <sz val="11"/>
        <color rgb="FF1F1F1F"/>
        <rFont val="Arial"/>
        <family val="2"/>
      </rPr>
      <t xml:space="preserve"> (Mobile Vertical)</t>
    </r>
  </si>
  <si>
    <t>--ar 9:16</t>
  </si>
  <si>
    <t>1080 x 1920 px</t>
  </si>
  <si>
    <t>&lt; 300 KB</t>
  </si>
  <si>
    <t>PWA App Icon</t>
  </si>
  <si>
    <r>
      <t>logo.png</t>
    </r>
    <r>
      <rPr>
        <sz val="11"/>
        <color rgb="FF1F1F1F"/>
        <rFont val="Arial"/>
        <family val="2"/>
      </rPr>
      <t xml:space="preserve"> (Root Folder)</t>
    </r>
  </si>
  <si>
    <t>Brand name</t>
  </si>
  <si>
    <t>https://raw.githubusercontent.com/Rmoosa2014/Restaurant-menu/main/logo.png</t>
  </si>
  <si>
    <t>English&amp;Arabic</t>
  </si>
  <si>
    <t>https://raw.githubusercontent.com/Rmoosa2014/Restaurant-menu/main/images/FlashCard/FlashCard.jpg</t>
  </si>
  <si>
    <t>https://raw.githubusercontent.com/Rmoosa2014/Restaurant-menu/main/images/FlashCard/FlashCard02.jpg</t>
  </si>
  <si>
    <t>https://raw.githubusercontent.com/Rmoosa2014/Restaurant-menu/main/images/Offer/Offer01.jpg</t>
  </si>
  <si>
    <t>https://raw.githubusercontent.com/Rmoosa2014/Restaurant-menu/main/images/Offer/Offer02.jpg</t>
  </si>
  <si>
    <t>https://raw.githubusercontent.com/Rmoosa2014/Restaurant-menu/main/images/FlashCard/FlashCard04.jpg</t>
  </si>
  <si>
    <t>https://raw.githubusercontent.com/Rmoosa2014/Restaurant-menu/main/images/FlashCard/FlashCard03.jpg</t>
  </si>
  <si>
    <t>https://raw.githubusercontent.com/Rmoosa2014/Restaurant-menu/main/images/banner/Banner01.jpg,https://raw.githubusercontent.com/Rmoosa2014/Restaurant-menu/main/images/banner/Banner02.jpg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</si>
</sst>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5"/>
      <color rgb="FF1F1F1F"/>
      <name val="Google Sans Text"/>
      <family val="2"/>
    </font>
    <font>
      <sz val="10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2" borderId="0" xfId="0" applyFill="1"/>
    <xf numFmtId="0" fontId="4" fillId="0" borderId="0" xfId="0" applyFont="1"/>
    <xf numFmtId="0" fontId="11" fillId="0" borderId="0" xfId="0" applyFont="1" applyAlignment="1">
      <alignment vertical="center" wrapText="1" readingOrder="1"/>
    </xf>
    <xf numFmtId="0" fontId="10" fillId="0" borderId="0" xfId="0" applyFont="1" applyAlignment="1">
      <alignment vertical="center" wrapText="1" readingOrder="1"/>
    </xf>
    <xf numFmtId="0" fontId="12" fillId="0" borderId="0" xfId="0" applyFont="1" applyAlignment="1">
      <alignment vertical="center" wrapText="1" readingOrder="1"/>
    </xf>
    <xf numFmtId="0" fontId="13" fillId="0" borderId="0" xfId="0" applyFont="1" applyAlignment="1">
      <alignment vertical="center" wrapText="1" readingOrder="1"/>
    </xf>
  </cellXfs>
  <cellStyles count="4">
    <cellStyle name="Hyperlink" xfId="1" builtinId="8"/>
    <cellStyle name="Hyperlink 2" xfId="3" xr:uid="{E566FE4F-A750-4D4D-BD23-503D70EDEC05}"/>
    <cellStyle name="Normal" xfId="0" builtinId="0"/>
    <cellStyle name="Normal 2" xfId="2" xr:uid="{2CF29EBD-8478-4325-AA66-9CEF04C6C8E3}"/>
  </cellStyles>
  <dxfs count="12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</dxfs>
  <tableStyles count="4" defaultTableStyle="TableStyleMedium2" defaultPivotStyle="PivotStyleLight16">
    <tableStyle name="1. Scenes Sheet-style" pivot="0" count="3" xr9:uid="{6F354813-F164-4EF4-AC64-C53AD3E3A5D1}">
      <tableStyleElement type="headerRow" dxfId="11"/>
      <tableStyleElement type="firstRowStripe" dxfId="10"/>
      <tableStyleElement type="secondRowStripe" dxfId="9"/>
    </tableStyle>
    <tableStyle name="2. Hotspots Sheet-style" pivot="0" count="3" xr9:uid="{4EBCC5EB-99D2-4840-98CD-BDF918EF30C2}">
      <tableStyleElement type="headerRow" dxfId="8"/>
      <tableStyleElement type="firstRowStripe" dxfId="7"/>
      <tableStyleElement type="secondRowStripe" dxfId="6"/>
    </tableStyle>
    <tableStyle name="3. Floors Sheet-style" pivot="0" count="3" xr9:uid="{F0E68D2A-4F9F-47FE-80C2-8E6149DFEF01}">
      <tableStyleElement type="headerRow" dxfId="5"/>
      <tableStyleElement type="firstRowStripe" dxfId="4"/>
      <tableStyleElement type="secondRowStripe" dxfId="3"/>
    </tableStyle>
    <tableStyle name="4. Styles Sheet (Custom CSS)-style" pivot="0" count="3" xr9:uid="{EB3B7C04-31E4-4050-8097-D2402123540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377112-E852-4CDE-B083-957D31BAF81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bc41f341-b5c4-49c0-9992-e8ef14e0b2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,https/maps.app.goo.gl/AHQsZChqfBk3TTuV8" TargetMode="External"/><Relationship Id="rId2" Type="http://schemas.openxmlformats.org/officeDocument/2006/relationships/hyperlink" Target="https://maps.app.goo.gl/AHQsZChqfBk3TTuV8" TargetMode="External"/><Relationship Id="rId1" Type="http://schemas.openxmlformats.org/officeDocument/2006/relationships/hyperlink" Target="mailto:rf@gmail.com" TargetMode="External"/><Relationship Id="rId5" Type="http://schemas.openxmlformats.org/officeDocument/2006/relationships/hyperlink" Target="https://raw.githubusercontent.com/Rmoosa2014/Restaurant-menu/main/logo.png" TargetMode="External"/><Relationship Id="rId4" Type="http://schemas.openxmlformats.org/officeDocument/2006/relationships/hyperlink" Target="https://raw.githubusercontent.com/Rmoosa2014/Restaurant-menu/main/images/banner/Banner01.jpg,https:/raw.githubusercontent.com/Rmoosa2014/Restaurant-menu/main/images/banner/Banner02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Rmoosa2014/Restaurant-menu/main/images/Offer/Offer02.jpg" TargetMode="External"/><Relationship Id="rId1" Type="http://schemas.openxmlformats.org/officeDocument/2006/relationships/hyperlink" Target="https://raw.githubusercontent.com/Rmoosa2014/Restaurant-menu/main/images/Offer/Offer01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Rmoosa2014/Restaurant-menu/main/images/FlashCard/FlashCard04.jpg" TargetMode="External"/><Relationship Id="rId3" Type="http://schemas.openxmlformats.org/officeDocument/2006/relationships/hyperlink" Target="https://www.instagram.com,https/maps.app.goo.gl/AHQsZChqfBk3TTuV8" TargetMode="External"/><Relationship Id="rId7" Type="http://schemas.openxmlformats.org/officeDocument/2006/relationships/hyperlink" Target="https://raw.githubusercontent.com/Rmoosa2014/Restaurant-menu/main/images/FlashCard/FlashCard02.jpg" TargetMode="External"/><Relationship Id="rId2" Type="http://schemas.openxmlformats.org/officeDocument/2006/relationships/hyperlink" Target="https://www.instagram.com,https/maps.app.goo.gl/AHQsZChqfBk3TTuV8" TargetMode="External"/><Relationship Id="rId1" Type="http://schemas.openxmlformats.org/officeDocument/2006/relationships/hyperlink" Target="https://www.instagram.com,https/maps.app.goo.gl/AHQsZChqfBk3TTuV8" TargetMode="External"/><Relationship Id="rId6" Type="http://schemas.openxmlformats.org/officeDocument/2006/relationships/hyperlink" Target="https://raw.githubusercontent.com/Rmoosa2014/Restaurant-menu/main/images/ItemImages/ITM001.jpg" TargetMode="External"/><Relationship Id="rId5" Type="http://schemas.openxmlformats.org/officeDocument/2006/relationships/hyperlink" Target="https://raw.githubusercontent.com/Rmoosa2014/Restaurant-menu/main/images/ItemImages/ITM001.jpg,https:/raw.githubusercontent.com/Rmoosa2014/Restaurant-menu/main/images/ItemImages/ITM001.jpg,https:/raw.githubusercontent.com/Rmoosa2014/Restaurant-menu/main/images/ItemImages/ITM001.jpg" TargetMode="External"/><Relationship Id="rId4" Type="http://schemas.openxmlformats.org/officeDocument/2006/relationships/hyperlink" Target="https://raw.githubusercontent.com/Rmoosa2014/Restaurant-menu/main/images/FlashCard/FlashCard.jpg" TargetMode="External"/><Relationship Id="rId9" Type="http://schemas.openxmlformats.org/officeDocument/2006/relationships/hyperlink" Target="https://raw.githubusercontent.com/Rmoosa2014/Restaurant-menu/main/images/FlashCard/FlashCard0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54D-F271-4DEA-9173-59A93EEE3FAE}">
  <dimension ref="A1:P2"/>
  <sheetViews>
    <sheetView tabSelected="1" topLeftCell="C1" workbookViewId="0">
      <selection activeCell="N9" sqref="N9"/>
    </sheetView>
  </sheetViews>
  <sheetFormatPr defaultRowHeight="14.4"/>
  <cols>
    <col min="1" max="1" width="8.83984375" style="1"/>
    <col min="2" max="2" width="13.3671875" bestFit="1" customWidth="1"/>
    <col min="3" max="3" width="12" customWidth="1"/>
    <col min="4" max="4" width="18.9453125" customWidth="1"/>
    <col min="5" max="6" width="12.41796875" bestFit="1" customWidth="1"/>
    <col min="7" max="7" width="14.41796875" bestFit="1" customWidth="1"/>
    <col min="8" max="8" width="23.20703125" bestFit="1" customWidth="1"/>
    <col min="9" max="9" width="39.15625" bestFit="1" customWidth="1"/>
    <col min="10" max="10" width="39.15625" customWidth="1"/>
    <col min="11" max="12" width="9.9453125" customWidth="1"/>
    <col min="13" max="13" width="13.20703125" bestFit="1" customWidth="1"/>
    <col min="14" max="14" width="13.3671875" customWidth="1"/>
    <col min="15" max="15" width="12.15625" bestFit="1" customWidth="1"/>
  </cols>
  <sheetData>
    <row r="1" spans="1:16">
      <c r="A1" s="1" t="s">
        <v>9</v>
      </c>
      <c r="B1" t="s">
        <v>532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71</v>
      </c>
      <c r="K1" t="s">
        <v>18</v>
      </c>
      <c r="L1" t="s">
        <v>64</v>
      </c>
      <c r="M1" t="s">
        <v>58</v>
      </c>
      <c r="N1" t="s">
        <v>66</v>
      </c>
      <c r="O1" t="s">
        <v>65</v>
      </c>
      <c r="P1" t="s">
        <v>74</v>
      </c>
    </row>
    <row r="2" spans="1:16">
      <c r="A2" s="1">
        <v>1</v>
      </c>
      <c r="B2" t="s">
        <v>67</v>
      </c>
      <c r="C2">
        <v>1254653</v>
      </c>
      <c r="D2">
        <v>966535531913</v>
      </c>
      <c r="E2">
        <v>5242332</v>
      </c>
      <c r="F2" s="2" t="s">
        <v>4</v>
      </c>
      <c r="G2" t="s">
        <v>68</v>
      </c>
      <c r="H2" t="s">
        <v>69</v>
      </c>
      <c r="I2" s="2" t="s">
        <v>8</v>
      </c>
      <c r="J2" s="2" t="s">
        <v>73</v>
      </c>
      <c r="K2" t="s">
        <v>19</v>
      </c>
      <c r="L2" t="s">
        <v>534</v>
      </c>
      <c r="M2">
        <v>15</v>
      </c>
      <c r="N2" s="2" t="s">
        <v>533</v>
      </c>
      <c r="O2" s="2" t="s">
        <v>541</v>
      </c>
      <c r="P2" t="b">
        <v>1</v>
      </c>
    </row>
  </sheetData>
  <hyperlinks>
    <hyperlink ref="F2" r:id="rId1" xr:uid="{2F801368-BE40-40B3-A874-EF23D36AFEF8}"/>
    <hyperlink ref="I2" r:id="rId2" xr:uid="{1FEE94DC-E760-44CD-B2C1-6BC052C20F3D}"/>
    <hyperlink ref="J2" r:id="rId3" xr:uid="{E1AD14C0-21E3-4C09-A07A-B1FA633CDCCB}"/>
    <hyperlink ref="O2" r:id="rId4" xr:uid="{81AFF1C3-240D-468E-995A-5B6703C1D34C}"/>
    <hyperlink ref="N2" r:id="rId5" xr:uid="{A1FB07C3-B8F2-49A0-A23A-B1A95E6708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53C-7D22-49C5-B4EB-590F6754435F}">
  <dimension ref="A1:F22"/>
  <sheetViews>
    <sheetView workbookViewId="0">
      <selection activeCell="F10" sqref="F10"/>
    </sheetView>
  </sheetViews>
  <sheetFormatPr defaultRowHeight="14.4"/>
  <cols>
    <col min="2" max="2" width="32.89453125" customWidth="1"/>
    <col min="3" max="3" width="32.9453125" customWidth="1"/>
    <col min="4" max="4" width="11.3671875" customWidth="1"/>
    <col min="5" max="5" width="18.47265625" customWidth="1"/>
    <col min="6" max="6" width="28.05078125" customWidth="1"/>
  </cols>
  <sheetData>
    <row r="1" spans="1:6">
      <c r="A1" s="1" t="s">
        <v>9</v>
      </c>
      <c r="B1" t="s">
        <v>10</v>
      </c>
      <c r="C1" t="s">
        <v>15</v>
      </c>
      <c r="D1" t="s">
        <v>17</v>
      </c>
      <c r="E1" t="s">
        <v>20</v>
      </c>
      <c r="F1" t="s">
        <v>21</v>
      </c>
    </row>
    <row r="2" spans="1:6">
      <c r="A2">
        <v>1</v>
      </c>
      <c r="B2" t="s">
        <v>11</v>
      </c>
      <c r="C2" t="s">
        <v>16</v>
      </c>
      <c r="D2">
        <v>115</v>
      </c>
      <c r="E2">
        <v>103</v>
      </c>
      <c r="F2" s="2"/>
    </row>
    <row r="3" spans="1:6">
      <c r="A3">
        <v>2</v>
      </c>
      <c r="B3" t="s">
        <v>12</v>
      </c>
      <c r="C3" t="s">
        <v>23</v>
      </c>
      <c r="D3">
        <v>55</v>
      </c>
      <c r="E3">
        <v>20</v>
      </c>
      <c r="F3" s="2" t="s">
        <v>537</v>
      </c>
    </row>
    <row r="4" spans="1:6">
      <c r="A4">
        <v>3</v>
      </c>
      <c r="B4" t="s">
        <v>14</v>
      </c>
      <c r="C4" t="s">
        <v>24</v>
      </c>
      <c r="D4">
        <v>10</v>
      </c>
      <c r="E4">
        <v>5</v>
      </c>
    </row>
    <row r="5" spans="1:6">
      <c r="A5">
        <v>4</v>
      </c>
      <c r="B5" t="s">
        <v>13</v>
      </c>
      <c r="C5" t="s">
        <v>25</v>
      </c>
      <c r="D5">
        <v>200</v>
      </c>
      <c r="E5">
        <v>100</v>
      </c>
      <c r="F5" s="2" t="s">
        <v>538</v>
      </c>
    </row>
    <row r="6" spans="1:6">
      <c r="A6">
        <v>5</v>
      </c>
      <c r="B6" t="s">
        <v>22</v>
      </c>
      <c r="C6" t="s">
        <v>26</v>
      </c>
      <c r="D6">
        <v>65</v>
      </c>
      <c r="E6">
        <v>30</v>
      </c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</sheetData>
  <hyperlinks>
    <hyperlink ref="F3" r:id="rId1" xr:uid="{52222A41-E790-4553-BF37-D311340B1ECC}"/>
    <hyperlink ref="F5" r:id="rId2" xr:uid="{BA3A31D8-88B0-4E51-AC24-6C25A35393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FB66-05B3-4E8B-A01A-C673F3C5AC7F}">
  <dimension ref="A1:N75"/>
  <sheetViews>
    <sheetView topLeftCell="D1" workbookViewId="0">
      <selection activeCell="I5" sqref="I5"/>
    </sheetView>
  </sheetViews>
  <sheetFormatPr defaultRowHeight="14.4"/>
  <cols>
    <col min="1" max="1" width="8.83984375" style="1"/>
    <col min="2" max="2" width="12.41796875" bestFit="1" customWidth="1"/>
    <col min="3" max="3" width="14" bestFit="1" customWidth="1"/>
    <col min="4" max="4" width="27.68359375" customWidth="1"/>
    <col min="5" max="5" width="17.26171875" style="1" customWidth="1"/>
    <col min="6" max="6" width="4.9453125" style="1" bestFit="1" customWidth="1"/>
    <col min="7" max="7" width="41.26171875" customWidth="1"/>
    <col min="8" max="8" width="8.83984375" style="1"/>
    <col min="9" max="9" width="43.89453125" customWidth="1"/>
    <col min="10" max="10" width="17.68359375" customWidth="1"/>
    <col min="11" max="11" width="28.20703125" customWidth="1"/>
    <col min="12" max="12" width="18.20703125" customWidth="1"/>
    <col min="13" max="13" width="24.5234375" customWidth="1"/>
    <col min="14" max="14" width="10.3125" bestFit="1" customWidth="1"/>
  </cols>
  <sheetData>
    <row r="1" spans="1:14" s="8" customFormat="1" ht="28.8">
      <c r="A1" s="5" t="s">
        <v>99</v>
      </c>
      <c r="B1" s="6" t="s">
        <v>30</v>
      </c>
      <c r="C1" s="6" t="s">
        <v>31</v>
      </c>
      <c r="D1" s="6" t="s">
        <v>70</v>
      </c>
      <c r="E1" s="7" t="s">
        <v>62</v>
      </c>
      <c r="F1" s="5" t="s">
        <v>56</v>
      </c>
      <c r="G1" s="6" t="s">
        <v>15</v>
      </c>
      <c r="H1" s="5" t="s">
        <v>57</v>
      </c>
      <c r="I1" s="6" t="s">
        <v>59</v>
      </c>
      <c r="J1" s="6" t="s">
        <v>60</v>
      </c>
      <c r="K1" s="6" t="s">
        <v>21</v>
      </c>
      <c r="L1" s="6" t="s">
        <v>63</v>
      </c>
      <c r="M1" s="11" t="s">
        <v>98</v>
      </c>
      <c r="N1" s="11" t="s">
        <v>97</v>
      </c>
    </row>
    <row r="2" spans="1:14">
      <c r="A2" s="13" t="s">
        <v>75</v>
      </c>
      <c r="B2" s="13" t="s">
        <v>27</v>
      </c>
      <c r="C2" s="13" t="s">
        <v>101</v>
      </c>
      <c r="D2" s="13" t="str">
        <f>VLOOKUP(A2,Inventory!$B$2:$C$201,2,FALSE)</f>
        <v>Puttu</v>
      </c>
      <c r="E2" s="16">
        <v>1</v>
      </c>
      <c r="F2" s="14">
        <v>15</v>
      </c>
      <c r="G2" s="13" t="s">
        <v>197</v>
      </c>
      <c r="H2" s="14">
        <v>225</v>
      </c>
      <c r="I2" s="15" t="s">
        <v>198</v>
      </c>
      <c r="J2" s="3"/>
      <c r="K2" s="2"/>
      <c r="L2" s="3"/>
      <c r="M2" s="2" t="s">
        <v>73</v>
      </c>
      <c r="N2" s="2" t="s">
        <v>539</v>
      </c>
    </row>
    <row r="3" spans="1:14">
      <c r="A3" s="13" t="s">
        <v>76</v>
      </c>
      <c r="B3" s="13" t="s">
        <v>27</v>
      </c>
      <c r="C3" s="13" t="s">
        <v>101</v>
      </c>
      <c r="D3" s="13" t="str">
        <f>VLOOKUP(A3,Inventory!$B$2:$C$201,2,FALSE)</f>
        <v>Appam</v>
      </c>
      <c r="E3" s="16">
        <v>2</v>
      </c>
      <c r="F3" s="14">
        <v>20</v>
      </c>
      <c r="G3" s="13" t="s">
        <v>199</v>
      </c>
      <c r="H3" s="14">
        <v>124</v>
      </c>
      <c r="I3" s="15" t="s">
        <v>200</v>
      </c>
      <c r="J3" s="3"/>
      <c r="K3" s="2" t="s">
        <v>455</v>
      </c>
      <c r="L3" s="3"/>
    </row>
    <row r="4" spans="1:14">
      <c r="A4" s="13" t="s">
        <v>77</v>
      </c>
      <c r="B4" s="13" t="s">
        <v>27</v>
      </c>
      <c r="C4" s="13" t="s">
        <v>101</v>
      </c>
      <c r="D4" s="13" t="str">
        <f>VLOOKUP(A4,Inventory!$B$2:$C$201,2,FALSE)</f>
        <v>Kerala Porotta</v>
      </c>
      <c r="E4" s="16">
        <v>3</v>
      </c>
      <c r="F4" s="14">
        <v>2</v>
      </c>
      <c r="G4" s="13" t="s">
        <v>201</v>
      </c>
      <c r="H4" s="14">
        <v>300</v>
      </c>
      <c r="I4" s="15" t="s">
        <v>103</v>
      </c>
      <c r="J4" s="3"/>
      <c r="K4" s="2" t="s">
        <v>454</v>
      </c>
      <c r="L4" s="3"/>
    </row>
    <row r="5" spans="1:14">
      <c r="A5" s="13" t="s">
        <v>78</v>
      </c>
      <c r="B5" s="13" t="s">
        <v>27</v>
      </c>
      <c r="C5" s="13" t="s">
        <v>101</v>
      </c>
      <c r="D5" s="13" t="str">
        <f>VLOOKUP(A5,Inventory!$B$2:$C$201,2,FALSE)</f>
        <v>Idiyappam</v>
      </c>
      <c r="E5" s="16">
        <v>4</v>
      </c>
      <c r="F5" s="14">
        <v>2</v>
      </c>
      <c r="G5" s="13" t="s">
        <v>106</v>
      </c>
      <c r="H5" s="14">
        <v>150</v>
      </c>
      <c r="I5" s="15" t="s">
        <v>107</v>
      </c>
      <c r="J5" s="3"/>
      <c r="K5" s="2" t="s">
        <v>454</v>
      </c>
      <c r="L5" s="3"/>
    </row>
    <row r="6" spans="1:14">
      <c r="A6" s="13" t="s">
        <v>79</v>
      </c>
      <c r="B6" s="13" t="s">
        <v>27</v>
      </c>
      <c r="C6" s="13" t="s">
        <v>117</v>
      </c>
      <c r="D6" s="13" t="str">
        <f>VLOOKUP(A6,Inventory!$B$2:$C$201,2,FALSE)</f>
        <v>Masala Dosa</v>
      </c>
      <c r="E6" s="16">
        <v>1</v>
      </c>
      <c r="F6" s="14">
        <v>12</v>
      </c>
      <c r="G6" s="13" t="s">
        <v>119</v>
      </c>
      <c r="H6" s="14">
        <v>350</v>
      </c>
      <c r="I6" s="15" t="s">
        <v>120</v>
      </c>
      <c r="J6" s="3" t="s">
        <v>60</v>
      </c>
      <c r="K6" s="2" t="s">
        <v>454</v>
      </c>
      <c r="L6" s="3"/>
      <c r="N6" s="2" t="s">
        <v>540</v>
      </c>
    </row>
    <row r="7" spans="1:14">
      <c r="A7" s="13" t="s">
        <v>80</v>
      </c>
      <c r="B7" s="13" t="s">
        <v>27</v>
      </c>
      <c r="C7" s="13" t="s">
        <v>117</v>
      </c>
      <c r="D7" s="13" t="str">
        <f>VLOOKUP(A7,Inventory!$B$2:$C$201,2,FALSE)</f>
        <v>Plain Dosa</v>
      </c>
      <c r="E7" s="16">
        <v>2</v>
      </c>
      <c r="F7" s="14">
        <v>8</v>
      </c>
      <c r="G7" s="13" t="s">
        <v>187</v>
      </c>
      <c r="H7" s="14">
        <v>200</v>
      </c>
      <c r="I7" s="15" t="s">
        <v>188</v>
      </c>
      <c r="J7" s="3"/>
      <c r="K7" s="2" t="s">
        <v>454</v>
      </c>
      <c r="L7" s="3"/>
      <c r="N7" s="2" t="s">
        <v>535</v>
      </c>
    </row>
    <row r="8" spans="1:14">
      <c r="A8" s="13" t="s">
        <v>81</v>
      </c>
      <c r="B8" s="13" t="s">
        <v>27</v>
      </c>
      <c r="C8" s="13" t="s">
        <v>108</v>
      </c>
      <c r="D8" s="13" t="str">
        <f>VLOOKUP(A8,Inventory!$B$2:$C$201,2,FALSE)</f>
        <v>Kadala Curry</v>
      </c>
      <c r="E8" s="16">
        <v>1</v>
      </c>
      <c r="F8" s="14">
        <v>8</v>
      </c>
      <c r="G8" s="13" t="s">
        <v>110</v>
      </c>
      <c r="H8" s="14">
        <v>250</v>
      </c>
      <c r="I8" s="15" t="s">
        <v>111</v>
      </c>
      <c r="J8" s="3"/>
      <c r="K8" s="2" t="s">
        <v>454</v>
      </c>
      <c r="L8" s="3"/>
    </row>
    <row r="9" spans="1:14">
      <c r="A9" s="13" t="s">
        <v>82</v>
      </c>
      <c r="B9" s="13" t="s">
        <v>27</v>
      </c>
      <c r="C9" s="13" t="s">
        <v>108</v>
      </c>
      <c r="D9" s="13" t="str">
        <f>VLOOKUP(A9,Inventory!$B$2:$C$201,2,FALSE)</f>
        <v>Egg Roast</v>
      </c>
      <c r="E9" s="16">
        <v>2</v>
      </c>
      <c r="F9" s="14">
        <v>9</v>
      </c>
      <c r="G9" s="13" t="s">
        <v>114</v>
      </c>
      <c r="H9" s="14">
        <v>220</v>
      </c>
      <c r="I9" s="15" t="s">
        <v>115</v>
      </c>
      <c r="J9" s="3"/>
      <c r="K9" s="2" t="s">
        <v>454</v>
      </c>
      <c r="L9" s="3"/>
      <c r="M9" s="2" t="s">
        <v>73</v>
      </c>
    </row>
    <row r="10" spans="1:14">
      <c r="A10" s="13" t="s">
        <v>83</v>
      </c>
      <c r="B10" s="13" t="s">
        <v>28</v>
      </c>
      <c r="C10" s="13" t="s">
        <v>32</v>
      </c>
      <c r="D10" s="13" t="str">
        <f>VLOOKUP(A10,Inventory!$B$2:$C$201,2,FALSE)</f>
        <v>Kerala Rice</v>
      </c>
      <c r="E10" s="16">
        <v>1</v>
      </c>
      <c r="F10" s="14">
        <v>8</v>
      </c>
      <c r="G10" s="13" t="s">
        <v>202</v>
      </c>
      <c r="H10" s="14">
        <v>521</v>
      </c>
      <c r="I10" s="15" t="s">
        <v>203</v>
      </c>
      <c r="J10" s="3"/>
      <c r="K10" s="2" t="s">
        <v>454</v>
      </c>
      <c r="L10" s="3"/>
    </row>
    <row r="11" spans="1:14">
      <c r="A11" s="13" t="s">
        <v>84</v>
      </c>
      <c r="B11" s="13" t="s">
        <v>28</v>
      </c>
      <c r="C11" s="13" t="s">
        <v>32</v>
      </c>
      <c r="D11" s="13" t="str">
        <f>VLOOKUP(A11,Inventory!$B$2:$C$201,2,FALSE)</f>
        <v>Baric Rice</v>
      </c>
      <c r="E11" s="16">
        <v>2</v>
      </c>
      <c r="F11" s="14">
        <v>10</v>
      </c>
      <c r="G11" s="13" t="s">
        <v>204</v>
      </c>
      <c r="H11" s="14">
        <v>154</v>
      </c>
      <c r="I11" s="15" t="s">
        <v>205</v>
      </c>
      <c r="J11" s="3"/>
      <c r="K11" s="2" t="s">
        <v>454</v>
      </c>
      <c r="L11" s="3"/>
    </row>
    <row r="12" spans="1:14">
      <c r="A12" s="13" t="s">
        <v>85</v>
      </c>
      <c r="B12" s="13" t="s">
        <v>28</v>
      </c>
      <c r="C12" s="13" t="s">
        <v>32</v>
      </c>
      <c r="D12" s="13" t="str">
        <f>VLOOKUP(A12,Inventory!$B$2:$C$201,2,FALSE)</f>
        <v>Ghee Rice (Neychoru)</v>
      </c>
      <c r="E12" s="16">
        <v>3</v>
      </c>
      <c r="F12" s="14">
        <v>12</v>
      </c>
      <c r="G12" s="13" t="s">
        <v>123</v>
      </c>
      <c r="H12" s="14">
        <v>450</v>
      </c>
      <c r="I12" s="15" t="s">
        <v>124</v>
      </c>
      <c r="J12" s="3"/>
      <c r="K12" s="2" t="s">
        <v>454</v>
      </c>
      <c r="L12" s="3"/>
    </row>
    <row r="13" spans="1:14">
      <c r="A13" s="13" t="s">
        <v>86</v>
      </c>
      <c r="B13" s="13" t="s">
        <v>28</v>
      </c>
      <c r="C13" s="13" t="s">
        <v>37</v>
      </c>
      <c r="D13" s="13" t="str">
        <f>VLOOKUP(A13,Inventory!$B$2:$C$201,2,FALSE)</f>
        <v>Biriyani Rice</v>
      </c>
      <c r="E13" s="16">
        <v>1</v>
      </c>
      <c r="F13" s="14">
        <v>6</v>
      </c>
      <c r="G13" s="13" t="s">
        <v>207</v>
      </c>
      <c r="H13" s="14">
        <v>523</v>
      </c>
      <c r="I13" s="15" t="s">
        <v>208</v>
      </c>
      <c r="J13" s="3"/>
      <c r="K13" s="2" t="s">
        <v>454</v>
      </c>
      <c r="L13" s="3"/>
    </row>
    <row r="14" spans="1:14">
      <c r="A14" s="13" t="s">
        <v>87</v>
      </c>
      <c r="B14" s="13" t="s">
        <v>28</v>
      </c>
      <c r="C14" s="13" t="s">
        <v>37</v>
      </c>
      <c r="D14" s="13" t="str">
        <f>VLOOKUP(A14,Inventory!$B$2:$C$201,2,FALSE)</f>
        <v>Chicken Biriyani</v>
      </c>
      <c r="E14" s="16">
        <v>2</v>
      </c>
      <c r="F14" s="14">
        <v>11</v>
      </c>
      <c r="G14" s="13" t="s">
        <v>209</v>
      </c>
      <c r="H14" s="14">
        <v>620</v>
      </c>
      <c r="I14" s="15" t="s">
        <v>210</v>
      </c>
      <c r="J14" s="3"/>
      <c r="K14" s="2" t="s">
        <v>454</v>
      </c>
      <c r="L14" s="3"/>
    </row>
    <row r="15" spans="1:14">
      <c r="A15" s="13" t="s">
        <v>88</v>
      </c>
      <c r="B15" s="13" t="s">
        <v>28</v>
      </c>
      <c r="C15" s="13" t="s">
        <v>37</v>
      </c>
      <c r="D15" s="13" t="str">
        <f>VLOOKUP(A15,Inventory!$B$2:$C$201,2,FALSE)</f>
        <v>Beef Biriyani</v>
      </c>
      <c r="E15" s="16">
        <v>3</v>
      </c>
      <c r="F15" s="14">
        <v>12</v>
      </c>
      <c r="G15" s="13" t="s">
        <v>211</v>
      </c>
      <c r="H15" s="14">
        <v>856</v>
      </c>
      <c r="I15" s="15" t="s">
        <v>212</v>
      </c>
      <c r="J15" s="3"/>
      <c r="K15" s="2" t="s">
        <v>454</v>
      </c>
      <c r="L15" s="3"/>
      <c r="N15" s="2" t="s">
        <v>536</v>
      </c>
    </row>
    <row r="16" spans="1:14">
      <c r="A16" s="13" t="s">
        <v>89</v>
      </c>
      <c r="B16" s="13" t="s">
        <v>28</v>
      </c>
      <c r="C16" s="13" t="s">
        <v>48</v>
      </c>
      <c r="D16" s="13" t="str">
        <f>VLOOKUP(A16,Inventory!$B$2:$C$201,2,FALSE)</f>
        <v>Fish Meals</v>
      </c>
      <c r="E16" s="16">
        <v>1</v>
      </c>
      <c r="F16" s="14">
        <v>15</v>
      </c>
      <c r="G16" s="13" t="s">
        <v>191</v>
      </c>
      <c r="H16" s="14">
        <v>650</v>
      </c>
      <c r="I16" s="15" t="s">
        <v>192</v>
      </c>
      <c r="J16" s="3" t="s">
        <v>60</v>
      </c>
      <c r="K16" s="2" t="s">
        <v>454</v>
      </c>
      <c r="L16" s="3"/>
      <c r="M16" s="2" t="s">
        <v>73</v>
      </c>
    </row>
    <row r="17" spans="1:12">
      <c r="A17" s="13" t="s">
        <v>90</v>
      </c>
      <c r="B17" s="13" t="s">
        <v>28</v>
      </c>
      <c r="C17" s="13" t="s">
        <v>48</v>
      </c>
      <c r="D17" s="13" t="str">
        <f>VLOOKUP(A17,Inventory!$B$2:$C$201,2,FALSE)</f>
        <v>Pothichoru</v>
      </c>
      <c r="E17" s="16">
        <v>2</v>
      </c>
      <c r="F17" s="14">
        <v>18</v>
      </c>
      <c r="G17" s="13" t="s">
        <v>127</v>
      </c>
      <c r="H17" s="14">
        <v>600</v>
      </c>
      <c r="I17" s="15" t="s">
        <v>128</v>
      </c>
      <c r="J17" s="3"/>
      <c r="K17" s="2" t="s">
        <v>454</v>
      </c>
      <c r="L17" s="3"/>
    </row>
    <row r="18" spans="1:12">
      <c r="A18" s="13" t="s">
        <v>91</v>
      </c>
      <c r="B18" s="13" t="s">
        <v>28</v>
      </c>
      <c r="C18" s="13" t="s">
        <v>130</v>
      </c>
      <c r="D18" s="13" t="str">
        <f>VLOOKUP(A18,Inventory!$B$2:$C$201,2,FALSE)</f>
        <v>Ayala Fish Curry</v>
      </c>
      <c r="E18" s="16">
        <v>1</v>
      </c>
      <c r="F18" s="14">
        <v>15</v>
      </c>
      <c r="G18" s="13" t="s">
        <v>132</v>
      </c>
      <c r="H18" s="14">
        <v>320</v>
      </c>
      <c r="I18" s="15" t="s">
        <v>133</v>
      </c>
      <c r="J18" s="3"/>
      <c r="K18" s="2" t="s">
        <v>454</v>
      </c>
      <c r="L18" s="3"/>
    </row>
    <row r="19" spans="1:12">
      <c r="A19" s="13" t="s">
        <v>92</v>
      </c>
      <c r="B19" s="13" t="s">
        <v>28</v>
      </c>
      <c r="C19" s="13" t="s">
        <v>130</v>
      </c>
      <c r="D19" s="13" t="str">
        <f>VLOOKUP(A19,Inventory!$B$2:$C$201,2,FALSE)</f>
        <v>Fish Pollichathu</v>
      </c>
      <c r="E19" s="16">
        <v>2</v>
      </c>
      <c r="F19" s="14">
        <v>25</v>
      </c>
      <c r="G19" s="13" t="s">
        <v>213</v>
      </c>
      <c r="H19" s="14">
        <v>400</v>
      </c>
      <c r="I19" s="15" t="s">
        <v>136</v>
      </c>
      <c r="J19" s="3"/>
      <c r="K19" s="2" t="s">
        <v>454</v>
      </c>
      <c r="L19" s="3"/>
    </row>
    <row r="20" spans="1:12">
      <c r="A20" s="13" t="s">
        <v>93</v>
      </c>
      <c r="B20" s="13" t="s">
        <v>29</v>
      </c>
      <c r="C20" s="13" t="s">
        <v>138</v>
      </c>
      <c r="D20" s="13" t="str">
        <f>VLOOKUP(A20,Inventory!$B$2:$C$201,2,FALSE)</f>
        <v>Chicken Shawarma</v>
      </c>
      <c r="E20" s="16">
        <v>1</v>
      </c>
      <c r="F20" s="14">
        <v>6</v>
      </c>
      <c r="G20" s="13" t="s">
        <v>143</v>
      </c>
      <c r="H20" s="14">
        <v>450</v>
      </c>
      <c r="I20" s="15" t="s">
        <v>144</v>
      </c>
      <c r="J20" s="3" t="s">
        <v>60</v>
      </c>
      <c r="K20" s="2" t="s">
        <v>454</v>
      </c>
      <c r="L20" s="3"/>
    </row>
    <row r="21" spans="1:12">
      <c r="A21" s="13" t="s">
        <v>94</v>
      </c>
      <c r="B21" s="13" t="s">
        <v>29</v>
      </c>
      <c r="C21" s="13" t="s">
        <v>138</v>
      </c>
      <c r="D21" s="13" t="str">
        <f>VLOOKUP(A21,Inventory!$B$2:$C$201,2,FALSE)</f>
        <v>Alfaham Chicken</v>
      </c>
      <c r="E21" s="16">
        <v>2</v>
      </c>
      <c r="F21" s="14">
        <v>20</v>
      </c>
      <c r="G21" s="13" t="s">
        <v>139</v>
      </c>
      <c r="H21" s="14">
        <v>750</v>
      </c>
      <c r="I21" s="15" t="s">
        <v>140</v>
      </c>
      <c r="J21" s="3"/>
      <c r="K21" s="2" t="s">
        <v>454</v>
      </c>
      <c r="L21" s="3"/>
    </row>
    <row r="22" spans="1:12">
      <c r="A22" s="13" t="s">
        <v>100</v>
      </c>
      <c r="B22" s="13" t="s">
        <v>29</v>
      </c>
      <c r="C22" s="13" t="s">
        <v>138</v>
      </c>
      <c r="D22" s="13" t="str">
        <f>VLOOKUP(A22,Inventory!$B$2:$C$201,2,FALSE)</f>
        <v>Broasted Chicken</v>
      </c>
      <c r="E22" s="16">
        <v>3</v>
      </c>
      <c r="F22" s="14">
        <v>17</v>
      </c>
      <c r="G22" s="13" t="s">
        <v>216</v>
      </c>
      <c r="H22" s="14">
        <v>850</v>
      </c>
      <c r="I22" s="15" t="s">
        <v>146</v>
      </c>
      <c r="K22" s="2" t="s">
        <v>454</v>
      </c>
    </row>
    <row r="23" spans="1:12">
      <c r="A23" s="13" t="s">
        <v>104</v>
      </c>
      <c r="B23" s="13" t="s">
        <v>29</v>
      </c>
      <c r="C23" s="13" t="s">
        <v>138</v>
      </c>
      <c r="D23" s="13" t="str">
        <f>VLOOKUP(A23,Inventory!$B$2:$C$201,2,FALSE)</f>
        <v>Mixed Grill</v>
      </c>
      <c r="E23" s="16">
        <v>4</v>
      </c>
      <c r="F23" s="14">
        <v>35</v>
      </c>
      <c r="G23" s="13" t="s">
        <v>179</v>
      </c>
      <c r="H23" s="14">
        <v>900</v>
      </c>
      <c r="I23" s="15" t="s">
        <v>180</v>
      </c>
      <c r="K23" s="2" t="s">
        <v>454</v>
      </c>
    </row>
    <row r="24" spans="1:12">
      <c r="A24" s="13" t="s">
        <v>95</v>
      </c>
      <c r="B24" s="13" t="s">
        <v>29</v>
      </c>
      <c r="C24" s="13" t="s">
        <v>34</v>
      </c>
      <c r="D24" s="13" t="str">
        <f>VLOOKUP(A24,Inventory!$B$2:$C$201,2,FALSE)</f>
        <v>Beef Roast (Nadan)</v>
      </c>
      <c r="E24" s="16">
        <v>1</v>
      </c>
      <c r="F24" s="14">
        <v>16</v>
      </c>
      <c r="G24" s="13" t="s">
        <v>149</v>
      </c>
      <c r="H24" s="14">
        <v>550</v>
      </c>
      <c r="I24" s="15" t="s">
        <v>150</v>
      </c>
      <c r="J24" s="13"/>
      <c r="K24" s="2" t="s">
        <v>454</v>
      </c>
    </row>
    <row r="25" spans="1:12">
      <c r="A25" s="13" t="s">
        <v>112</v>
      </c>
      <c r="B25" s="13" t="s">
        <v>29</v>
      </c>
      <c r="C25" s="13" t="s">
        <v>34</v>
      </c>
      <c r="D25" s="13" t="str">
        <f>VLOOKUP(A25,Inventory!$B$2:$C$201,2,FALSE)</f>
        <v>Beef Fry</v>
      </c>
      <c r="E25" s="16">
        <v>2</v>
      </c>
      <c r="F25" s="14">
        <v>12</v>
      </c>
      <c r="G25" s="13" t="s">
        <v>217</v>
      </c>
      <c r="H25" s="14">
        <v>450</v>
      </c>
      <c r="I25" s="15" t="s">
        <v>218</v>
      </c>
      <c r="J25" s="13"/>
      <c r="K25" s="2" t="s">
        <v>454</v>
      </c>
    </row>
    <row r="26" spans="1:12">
      <c r="A26" s="13" t="s">
        <v>116</v>
      </c>
      <c r="B26" s="13" t="s">
        <v>29</v>
      </c>
      <c r="C26" s="13" t="s">
        <v>34</v>
      </c>
      <c r="D26" s="13" t="str">
        <f>VLOOKUP(A26,Inventory!$B$2:$C$201,2,FALSE)</f>
        <v>Mutton Curry</v>
      </c>
      <c r="E26" s="16">
        <v>3</v>
      </c>
      <c r="F26" s="14">
        <v>22</v>
      </c>
      <c r="G26" s="13" t="s">
        <v>219</v>
      </c>
      <c r="H26" s="14">
        <v>600</v>
      </c>
      <c r="I26" s="15" t="s">
        <v>153</v>
      </c>
      <c r="J26" s="13"/>
      <c r="K26" s="2" t="s">
        <v>454</v>
      </c>
    </row>
    <row r="27" spans="1:12">
      <c r="A27" s="13" t="s">
        <v>121</v>
      </c>
      <c r="B27" s="13" t="s">
        <v>29</v>
      </c>
      <c r="C27" s="13" t="s">
        <v>34</v>
      </c>
      <c r="D27" s="13" t="str">
        <f>VLOOKUP(A27,Inventory!$B$2:$C$201,2,FALSE)</f>
        <v>Chicken Fry</v>
      </c>
      <c r="E27" s="16">
        <v>4</v>
      </c>
      <c r="F27" s="14">
        <v>10</v>
      </c>
      <c r="G27" s="13" t="s">
        <v>220</v>
      </c>
      <c r="H27" s="14">
        <v>521</v>
      </c>
      <c r="I27" s="15" t="s">
        <v>221</v>
      </c>
      <c r="J27" s="13"/>
      <c r="K27" s="2" t="s">
        <v>454</v>
      </c>
    </row>
    <row r="28" spans="1:12">
      <c r="A28" s="13" t="s">
        <v>125</v>
      </c>
      <c r="B28" s="13" t="s">
        <v>29</v>
      </c>
      <c r="C28" s="13" t="s">
        <v>108</v>
      </c>
      <c r="D28" s="13" t="str">
        <f>VLOOKUP(A28,Inventory!$B$2:$C$201,2,FALSE)</f>
        <v>Butter Chicken</v>
      </c>
      <c r="E28" s="16">
        <v>1</v>
      </c>
      <c r="F28" s="14">
        <v>20</v>
      </c>
      <c r="G28" s="13" t="s">
        <v>183</v>
      </c>
      <c r="H28" s="14">
        <v>650</v>
      </c>
      <c r="I28" s="15" t="s">
        <v>184</v>
      </c>
      <c r="J28" s="13"/>
      <c r="K28" s="2" t="s">
        <v>454</v>
      </c>
    </row>
    <row r="29" spans="1:12">
      <c r="A29" s="13" t="s">
        <v>129</v>
      </c>
      <c r="B29" s="13" t="s">
        <v>29</v>
      </c>
      <c r="C29" s="13" t="s">
        <v>101</v>
      </c>
      <c r="D29" s="13" t="str">
        <f>VLOOKUP(A29,Inventory!$B$2:$C$201,2,FALSE)</f>
        <v>Nadan Pathiri</v>
      </c>
      <c r="E29" s="16">
        <v>1</v>
      </c>
      <c r="F29" s="14">
        <v>2</v>
      </c>
      <c r="G29" s="13" t="s">
        <v>156</v>
      </c>
      <c r="H29" s="14">
        <v>120</v>
      </c>
      <c r="I29" s="15" t="s">
        <v>157</v>
      </c>
      <c r="J29" s="13"/>
      <c r="K29" s="2" t="s">
        <v>454</v>
      </c>
    </row>
    <row r="30" spans="1:12">
      <c r="A30" s="13" t="s">
        <v>134</v>
      </c>
      <c r="B30" s="13" t="s">
        <v>33</v>
      </c>
      <c r="C30" s="13" t="s">
        <v>40</v>
      </c>
      <c r="D30" s="13" t="str">
        <f>VLOOKUP(A30,Inventory!$B$2:$C$201,2,FALSE)</f>
        <v>Normal Tea (Black)</v>
      </c>
      <c r="E30" s="16">
        <v>1</v>
      </c>
      <c r="F30" s="14">
        <v>2</v>
      </c>
      <c r="G30" s="13" t="s">
        <v>223</v>
      </c>
      <c r="H30" s="14">
        <v>5</v>
      </c>
      <c r="I30" s="15" t="s">
        <v>224</v>
      </c>
      <c r="J30" s="13"/>
      <c r="K30" s="2" t="s">
        <v>454</v>
      </c>
    </row>
    <row r="31" spans="1:12">
      <c r="A31" s="13" t="s">
        <v>137</v>
      </c>
      <c r="B31" s="13" t="s">
        <v>33</v>
      </c>
      <c r="C31" s="13" t="s">
        <v>40</v>
      </c>
      <c r="D31" s="13" t="str">
        <f>VLOOKUP(A31,Inventory!$B$2:$C$201,2,FALSE)</f>
        <v>Milk Tea</v>
      </c>
      <c r="E31" s="16">
        <v>2</v>
      </c>
      <c r="F31" s="14">
        <v>3</v>
      </c>
      <c r="G31" s="13" t="s">
        <v>226</v>
      </c>
      <c r="H31" s="14">
        <v>65</v>
      </c>
      <c r="I31" s="15" t="s">
        <v>227</v>
      </c>
      <c r="J31" s="13"/>
      <c r="K31" s="2" t="s">
        <v>454</v>
      </c>
    </row>
    <row r="32" spans="1:12">
      <c r="A32" s="13" t="s">
        <v>141</v>
      </c>
      <c r="B32" s="13" t="s">
        <v>33</v>
      </c>
      <c r="C32" s="13" t="s">
        <v>40</v>
      </c>
      <c r="D32" s="13" t="str">
        <f>VLOOKUP(A32,Inventory!$B$2:$C$201,2,FALSE)</f>
        <v>Sulaimani</v>
      </c>
      <c r="E32" s="16">
        <v>3</v>
      </c>
      <c r="F32" s="14">
        <v>2</v>
      </c>
      <c r="G32" s="13" t="s">
        <v>169</v>
      </c>
      <c r="H32" s="14">
        <v>30</v>
      </c>
      <c r="I32" s="15" t="s">
        <v>228</v>
      </c>
      <c r="J32" s="13"/>
      <c r="K32" s="2" t="s">
        <v>454</v>
      </c>
    </row>
    <row r="33" spans="1:11">
      <c r="A33" s="13" t="s">
        <v>145</v>
      </c>
      <c r="B33" s="13" t="s">
        <v>33</v>
      </c>
      <c r="C33" s="13" t="s">
        <v>41</v>
      </c>
      <c r="D33" s="13" t="str">
        <f>VLOOKUP(A33,Inventory!$B$2:$C$201,2,FALSE)</f>
        <v>Black Coffee</v>
      </c>
      <c r="E33" s="16">
        <v>1</v>
      </c>
      <c r="F33" s="14">
        <v>3</v>
      </c>
      <c r="G33" s="13" t="s">
        <v>230</v>
      </c>
      <c r="H33" s="14">
        <v>10</v>
      </c>
      <c r="I33" s="15" t="s">
        <v>231</v>
      </c>
      <c r="J33" s="13"/>
      <c r="K33" s="2" t="s">
        <v>454</v>
      </c>
    </row>
    <row r="34" spans="1:11">
      <c r="A34" s="13" t="s">
        <v>147</v>
      </c>
      <c r="B34" s="13" t="s">
        <v>33</v>
      </c>
      <c r="C34" s="13" t="s">
        <v>41</v>
      </c>
      <c r="D34" s="13" t="str">
        <f>VLOOKUP(A34,Inventory!$B$2:$C$201,2,FALSE)</f>
        <v>Milk Coffee</v>
      </c>
      <c r="E34" s="16">
        <v>2</v>
      </c>
      <c r="F34" s="14">
        <v>4</v>
      </c>
      <c r="G34" s="13" t="s">
        <v>233</v>
      </c>
      <c r="H34" s="14">
        <v>85</v>
      </c>
      <c r="I34" s="15" t="s">
        <v>234</v>
      </c>
      <c r="J34" s="13"/>
      <c r="K34" s="2" t="s">
        <v>454</v>
      </c>
    </row>
    <row r="35" spans="1:11">
      <c r="A35" s="13" t="s">
        <v>151</v>
      </c>
      <c r="B35" s="13" t="s">
        <v>33</v>
      </c>
      <c r="C35" s="13" t="s">
        <v>42</v>
      </c>
      <c r="D35" s="13" t="str">
        <f>VLOOKUP(A35,Inventory!$B$2:$C$201,2,FALSE)</f>
        <v>Water Cup 250ml</v>
      </c>
      <c r="E35" s="16">
        <v>1</v>
      </c>
      <c r="F35" s="14">
        <v>1</v>
      </c>
      <c r="G35" s="13" t="s">
        <v>236</v>
      </c>
      <c r="H35" s="14">
        <v>0</v>
      </c>
      <c r="I35" s="15" t="s">
        <v>237</v>
      </c>
      <c r="J35" s="13"/>
      <c r="K35" s="2" t="s">
        <v>454</v>
      </c>
    </row>
    <row r="36" spans="1:11">
      <c r="A36" s="13" t="s">
        <v>154</v>
      </c>
      <c r="B36" s="13" t="s">
        <v>33</v>
      </c>
      <c r="C36" s="13" t="s">
        <v>42</v>
      </c>
      <c r="D36" s="13" t="str">
        <f>VLOOKUP(A36,Inventory!$B$2:$C$201,2,FALSE)</f>
        <v>Water Bottle 500ml</v>
      </c>
      <c r="E36" s="16">
        <v>2</v>
      </c>
      <c r="F36" s="14">
        <v>2</v>
      </c>
      <c r="G36" s="13" t="s">
        <v>239</v>
      </c>
      <c r="H36" s="14">
        <v>0</v>
      </c>
      <c r="I36" s="15" t="s">
        <v>237</v>
      </c>
      <c r="J36" s="13"/>
      <c r="K36" s="2" t="s">
        <v>454</v>
      </c>
    </row>
    <row r="37" spans="1:11">
      <c r="A37" s="13" t="s">
        <v>158</v>
      </c>
      <c r="B37" s="13" t="s">
        <v>33</v>
      </c>
      <c r="C37" s="13" t="s">
        <v>42</v>
      </c>
      <c r="D37" s="13" t="str">
        <f>VLOOKUP(A37,Inventory!$B$2:$C$201,2,FALSE)</f>
        <v>Water Bottle 1Ltr</v>
      </c>
      <c r="E37" s="16">
        <v>3</v>
      </c>
      <c r="F37" s="14">
        <v>3</v>
      </c>
      <c r="G37" s="13" t="s">
        <v>241</v>
      </c>
      <c r="H37" s="14">
        <v>0</v>
      </c>
      <c r="I37" s="15" t="s">
        <v>237</v>
      </c>
      <c r="J37" s="13"/>
      <c r="K37" s="2" t="s">
        <v>454</v>
      </c>
    </row>
    <row r="38" spans="1:11">
      <c r="A38" s="13" t="s">
        <v>162</v>
      </c>
      <c r="B38" s="13" t="s">
        <v>33</v>
      </c>
      <c r="C38" s="13" t="s">
        <v>242</v>
      </c>
      <c r="D38" s="13" t="str">
        <f>VLOOKUP(A38,Inventory!$B$2:$C$201,2,FALSE)</f>
        <v>Pepsi 330ml</v>
      </c>
      <c r="E38" s="16">
        <v>1</v>
      </c>
      <c r="F38" s="14">
        <v>3</v>
      </c>
      <c r="G38" s="13" t="s">
        <v>244</v>
      </c>
      <c r="H38" s="14">
        <v>150</v>
      </c>
      <c r="I38" s="15" t="s">
        <v>245</v>
      </c>
      <c r="J38" s="13"/>
      <c r="K38" s="2" t="s">
        <v>454</v>
      </c>
    </row>
    <row r="39" spans="1:11">
      <c r="A39" s="13" t="s">
        <v>167</v>
      </c>
      <c r="B39" s="13" t="s">
        <v>33</v>
      </c>
      <c r="C39" s="13" t="s">
        <v>242</v>
      </c>
      <c r="D39" s="13" t="str">
        <f>VLOOKUP(A39,Inventory!$B$2:$C$201,2,FALSE)</f>
        <v>Coca-Cola 330ml</v>
      </c>
      <c r="E39" s="16">
        <v>2</v>
      </c>
      <c r="F39" s="14">
        <v>3</v>
      </c>
      <c r="G39" s="13" t="s">
        <v>244</v>
      </c>
      <c r="H39" s="14">
        <v>140</v>
      </c>
      <c r="I39" s="15" t="s">
        <v>245</v>
      </c>
      <c r="J39" s="13"/>
      <c r="K39" s="2" t="s">
        <v>454</v>
      </c>
    </row>
    <row r="40" spans="1:11">
      <c r="A40" s="13" t="s">
        <v>170</v>
      </c>
      <c r="B40" s="13" t="s">
        <v>33</v>
      </c>
      <c r="C40" s="13" t="s">
        <v>242</v>
      </c>
      <c r="D40" s="13" t="str">
        <f>VLOOKUP(A40,Inventory!$B$2:$C$201,2,FALSE)</f>
        <v>7 Up 330ml</v>
      </c>
      <c r="E40" s="16">
        <v>3</v>
      </c>
      <c r="F40" s="14">
        <v>3</v>
      </c>
      <c r="G40" s="13" t="s">
        <v>248</v>
      </c>
      <c r="H40" s="14">
        <v>140</v>
      </c>
      <c r="I40" s="15" t="s">
        <v>249</v>
      </c>
      <c r="J40" s="13"/>
      <c r="K40" s="2" t="s">
        <v>454</v>
      </c>
    </row>
    <row r="41" spans="1:11">
      <c r="A41" s="13" t="s">
        <v>174</v>
      </c>
      <c r="B41" s="13" t="s">
        <v>33</v>
      </c>
      <c r="C41" s="13" t="s">
        <v>242</v>
      </c>
      <c r="D41" s="13" t="str">
        <f>VLOOKUP(A41,Inventory!$B$2:$C$201,2,FALSE)</f>
        <v>Mirinda 330ml</v>
      </c>
      <c r="E41" s="16">
        <v>4</v>
      </c>
      <c r="F41" s="14">
        <v>3</v>
      </c>
      <c r="G41" s="13" t="s">
        <v>251</v>
      </c>
      <c r="H41" s="14">
        <v>160</v>
      </c>
      <c r="I41" s="15" t="s">
        <v>252</v>
      </c>
      <c r="J41" s="13"/>
      <c r="K41" s="2" t="s">
        <v>454</v>
      </c>
    </row>
    <row r="42" spans="1:11">
      <c r="A42" s="13" t="s">
        <v>177</v>
      </c>
      <c r="B42" s="13" t="s">
        <v>33</v>
      </c>
      <c r="C42" s="13" t="s">
        <v>242</v>
      </c>
      <c r="D42" s="13" t="str">
        <f>VLOOKUP(A42,Inventory!$B$2:$C$201,2,FALSE)</f>
        <v>Kinza Cola 330ml</v>
      </c>
      <c r="E42" s="16">
        <v>5</v>
      </c>
      <c r="F42" s="14">
        <v>3</v>
      </c>
      <c r="G42" s="13" t="s">
        <v>254</v>
      </c>
      <c r="H42" s="14">
        <v>145</v>
      </c>
      <c r="I42" s="15" t="s">
        <v>245</v>
      </c>
      <c r="J42" s="13"/>
      <c r="K42" s="2" t="s">
        <v>454</v>
      </c>
    </row>
    <row r="43" spans="1:11">
      <c r="A43" s="13" t="s">
        <v>181</v>
      </c>
      <c r="B43" s="13" t="s">
        <v>33</v>
      </c>
      <c r="C43" s="13" t="s">
        <v>242</v>
      </c>
      <c r="D43" s="13" t="str">
        <f>VLOOKUP(A43,Inventory!$B$2:$C$201,2,FALSE)</f>
        <v>Kinza Citrus 330ml</v>
      </c>
      <c r="E43" s="16">
        <v>6</v>
      </c>
      <c r="F43" s="14">
        <v>3</v>
      </c>
      <c r="G43" s="13" t="s">
        <v>256</v>
      </c>
      <c r="H43" s="14">
        <v>150</v>
      </c>
      <c r="I43" s="15" t="s">
        <v>257</v>
      </c>
      <c r="J43" s="13"/>
      <c r="K43" s="2" t="s">
        <v>454</v>
      </c>
    </row>
    <row r="44" spans="1:11">
      <c r="A44" s="13" t="s">
        <v>185</v>
      </c>
      <c r="B44" s="13" t="s">
        <v>33</v>
      </c>
      <c r="C44" s="13" t="s">
        <v>35</v>
      </c>
      <c r="D44" s="13" t="str">
        <f>VLOOKUP(A44,Inventory!$B$2:$C$201,2,FALSE)</f>
        <v>Fresh Orange Juice</v>
      </c>
      <c r="E44" s="16">
        <v>1</v>
      </c>
      <c r="F44" s="14">
        <v>10</v>
      </c>
      <c r="G44" s="13" t="s">
        <v>259</v>
      </c>
      <c r="H44" s="14">
        <v>135</v>
      </c>
      <c r="I44" s="15" t="s">
        <v>260</v>
      </c>
      <c r="J44" s="13"/>
      <c r="K44" s="2" t="s">
        <v>454</v>
      </c>
    </row>
    <row r="45" spans="1:11">
      <c r="A45" s="13" t="s">
        <v>189</v>
      </c>
      <c r="B45" s="13" t="s">
        <v>33</v>
      </c>
      <c r="C45" s="13" t="s">
        <v>35</v>
      </c>
      <c r="D45" s="13" t="str">
        <f>VLOOKUP(A45,Inventory!$B$2:$C$201,2,FALSE)</f>
        <v>Fresh Mango Juice</v>
      </c>
      <c r="E45" s="16">
        <v>2</v>
      </c>
      <c r="F45" s="14">
        <v>12</v>
      </c>
      <c r="G45" s="13" t="s">
        <v>262</v>
      </c>
      <c r="H45" s="14">
        <v>150</v>
      </c>
      <c r="I45" s="15" t="s">
        <v>263</v>
      </c>
      <c r="J45" s="13"/>
      <c r="K45" s="2" t="s">
        <v>454</v>
      </c>
    </row>
    <row r="46" spans="1:11">
      <c r="A46" s="13" t="s">
        <v>193</v>
      </c>
      <c r="B46" s="13" t="s">
        <v>33</v>
      </c>
      <c r="C46" s="13" t="s">
        <v>35</v>
      </c>
      <c r="D46" s="13" t="str">
        <f>VLOOKUP(A46,Inventory!$B$2:$C$201,2,FALSE)</f>
        <v>Fresh Lemon Mint</v>
      </c>
      <c r="E46" s="16">
        <v>3</v>
      </c>
      <c r="F46" s="14">
        <v>8</v>
      </c>
      <c r="G46" s="13" t="s">
        <v>160</v>
      </c>
      <c r="H46" s="14">
        <v>110</v>
      </c>
      <c r="I46" s="15" t="s">
        <v>161</v>
      </c>
      <c r="J46" s="13"/>
      <c r="K46" s="2" t="s">
        <v>454</v>
      </c>
    </row>
    <row r="47" spans="1:11">
      <c r="A47" s="13" t="s">
        <v>264</v>
      </c>
      <c r="B47" s="13" t="s">
        <v>33</v>
      </c>
      <c r="C47" s="13" t="s">
        <v>163</v>
      </c>
      <c r="D47" s="13" t="str">
        <f>VLOOKUP(A47,Inventory!$B$2:$C$201,2,FALSE)</f>
        <v>Avocado Shake</v>
      </c>
      <c r="E47" s="16">
        <v>1</v>
      </c>
      <c r="F47" s="14">
        <v>15</v>
      </c>
      <c r="G47" s="13" t="s">
        <v>195</v>
      </c>
      <c r="H47" s="14">
        <v>420</v>
      </c>
      <c r="I47" s="15" t="s">
        <v>196</v>
      </c>
      <c r="J47" s="13"/>
      <c r="K47" s="2" t="s">
        <v>454</v>
      </c>
    </row>
    <row r="48" spans="1:11">
      <c r="A48" s="13" t="s">
        <v>265</v>
      </c>
      <c r="B48" s="13" t="s">
        <v>33</v>
      </c>
      <c r="C48" s="13" t="s">
        <v>163</v>
      </c>
      <c r="D48" s="13" t="str">
        <f>VLOOKUP(A48,Inventory!$B$2:$C$201,2,FALSE)</f>
        <v>Sharjah Shake</v>
      </c>
      <c r="E48" s="16">
        <v>2</v>
      </c>
      <c r="F48" s="14">
        <v>12</v>
      </c>
      <c r="G48" s="13" t="s">
        <v>165</v>
      </c>
      <c r="H48" s="14">
        <v>350</v>
      </c>
      <c r="I48" s="15" t="s">
        <v>166</v>
      </c>
      <c r="J48" s="13"/>
      <c r="K48" s="2" t="s">
        <v>454</v>
      </c>
    </row>
    <row r="49" spans="1:11">
      <c r="A49" s="13" t="s">
        <v>266</v>
      </c>
      <c r="B49" s="13" t="s">
        <v>171</v>
      </c>
      <c r="C49" s="13" t="s">
        <v>36</v>
      </c>
      <c r="D49" s="13" t="str">
        <f>VLOOKUP(A49,Inventory!$B$2:$C$201,2,FALSE)</f>
        <v>Vanilla Ice Cream</v>
      </c>
      <c r="E49" s="16">
        <v>1</v>
      </c>
      <c r="F49" s="14">
        <v>5</v>
      </c>
      <c r="G49" s="13" t="s">
        <v>268</v>
      </c>
      <c r="H49" s="14">
        <v>220</v>
      </c>
      <c r="I49" s="15" t="s">
        <v>269</v>
      </c>
      <c r="J49" s="13"/>
      <c r="K49" s="2"/>
    </row>
    <row r="50" spans="1:11">
      <c r="A50" s="13" t="s">
        <v>270</v>
      </c>
      <c r="B50" s="13" t="s">
        <v>171</v>
      </c>
      <c r="C50" s="13" t="s">
        <v>36</v>
      </c>
      <c r="D50" s="13" t="str">
        <f>VLOOKUP(A50,Inventory!$B$2:$C$201,2,FALSE)</f>
        <v>Strawberry Ice Cream</v>
      </c>
      <c r="E50" s="16">
        <v>2</v>
      </c>
      <c r="F50" s="14">
        <v>5</v>
      </c>
      <c r="G50" s="13" t="s">
        <v>272</v>
      </c>
      <c r="H50" s="14">
        <v>210</v>
      </c>
      <c r="I50" s="15" t="s">
        <v>273</v>
      </c>
      <c r="J50" s="13"/>
      <c r="K50" s="2"/>
    </row>
    <row r="51" spans="1:11">
      <c r="A51" s="13" t="s">
        <v>274</v>
      </c>
      <c r="B51" s="13" t="s">
        <v>171</v>
      </c>
      <c r="C51" s="13" t="s">
        <v>275</v>
      </c>
      <c r="D51" s="13" t="str">
        <f>VLOOKUP(A51,Inventory!$B$2:$C$201,2,FALSE)</f>
        <v>Fruit Salad w/ Ice Cream</v>
      </c>
      <c r="E51" s="16">
        <v>1</v>
      </c>
      <c r="F51" s="14">
        <v>12</v>
      </c>
      <c r="G51" s="13" t="s">
        <v>172</v>
      </c>
      <c r="H51" s="14">
        <v>250</v>
      </c>
      <c r="I51" s="15" t="s">
        <v>173</v>
      </c>
      <c r="J51" s="13"/>
      <c r="K51" s="2"/>
    </row>
    <row r="52" spans="1:11">
      <c r="A52" s="13" t="s">
        <v>277</v>
      </c>
      <c r="B52" s="13" t="s">
        <v>171</v>
      </c>
      <c r="C52" s="13" t="s">
        <v>275</v>
      </c>
      <c r="D52" s="13" t="str">
        <f>VLOOKUP(A52,Inventory!$B$2:$C$201,2,FALSE)</f>
        <v>Royal Falooda</v>
      </c>
      <c r="E52" s="16">
        <v>2</v>
      </c>
      <c r="F52" s="14">
        <v>15</v>
      </c>
      <c r="G52" s="13" t="s">
        <v>175</v>
      </c>
      <c r="H52" s="14">
        <v>400</v>
      </c>
      <c r="I52" s="15" t="s">
        <v>176</v>
      </c>
      <c r="J52" s="13"/>
      <c r="K52" s="2"/>
    </row>
    <row r="53" spans="1:11">
      <c r="A53" s="13"/>
      <c r="B53" s="13"/>
      <c r="C53" s="13"/>
      <c r="D53" s="13"/>
      <c r="E53" s="16"/>
      <c r="F53" s="14"/>
      <c r="G53" s="13"/>
      <c r="H53" s="14"/>
      <c r="I53" s="15"/>
      <c r="J53" s="13"/>
      <c r="K53" s="13"/>
    </row>
    <row r="54" spans="1:11">
      <c r="A54" s="13"/>
      <c r="B54" s="13"/>
      <c r="C54" s="13"/>
      <c r="D54" s="13"/>
      <c r="E54" s="16"/>
      <c r="F54" s="14"/>
      <c r="G54" s="13"/>
      <c r="H54" s="14"/>
      <c r="I54" s="15"/>
      <c r="J54" s="13"/>
      <c r="K54" s="13"/>
    </row>
    <row r="55" spans="1:11">
      <c r="A55" s="13"/>
      <c r="B55" s="13"/>
      <c r="C55" s="13"/>
      <c r="D55" s="13"/>
      <c r="E55" s="16"/>
      <c r="F55" s="14"/>
      <c r="G55" s="13"/>
      <c r="H55" s="14"/>
      <c r="I55" s="15"/>
      <c r="J55" s="13"/>
      <c r="K55" s="13"/>
    </row>
    <row r="56" spans="1:11">
      <c r="A56" s="13"/>
      <c r="B56" s="13"/>
      <c r="C56" s="13"/>
      <c r="D56" s="13"/>
      <c r="E56" s="16"/>
      <c r="F56" s="14"/>
      <c r="G56" s="13"/>
      <c r="H56" s="14"/>
      <c r="I56" s="15"/>
      <c r="J56" s="13"/>
      <c r="K56" s="13"/>
    </row>
    <row r="57" spans="1:11">
      <c r="A57" s="13"/>
      <c r="B57" s="13"/>
      <c r="C57" s="13"/>
      <c r="D57" s="13"/>
      <c r="E57" s="16"/>
      <c r="F57" s="14"/>
      <c r="G57" s="13"/>
      <c r="H57" s="14"/>
      <c r="I57" s="15"/>
      <c r="J57" s="13"/>
      <c r="K57" s="13"/>
    </row>
    <row r="58" spans="1:11">
      <c r="A58" s="13"/>
      <c r="B58" s="13"/>
      <c r="C58" s="13"/>
      <c r="D58" s="13"/>
      <c r="E58" s="16"/>
      <c r="F58" s="14"/>
      <c r="G58" s="13"/>
      <c r="H58" s="14"/>
      <c r="I58" s="15"/>
      <c r="J58" s="13"/>
      <c r="K58" s="13"/>
    </row>
    <row r="59" spans="1:11">
      <c r="A59" s="13"/>
      <c r="B59" s="13"/>
      <c r="C59" s="13"/>
      <c r="D59" s="13"/>
      <c r="E59" s="16"/>
      <c r="F59" s="14"/>
      <c r="G59" s="13"/>
      <c r="H59" s="14"/>
      <c r="I59" s="15"/>
      <c r="J59" s="13"/>
      <c r="K59" s="13"/>
    </row>
    <row r="60" spans="1:11">
      <c r="A60" s="13"/>
      <c r="B60" s="13"/>
      <c r="C60" s="13"/>
      <c r="D60" s="13"/>
      <c r="E60" s="16"/>
      <c r="F60" s="14"/>
      <c r="G60" s="13"/>
      <c r="H60" s="14"/>
      <c r="I60" s="15"/>
      <c r="J60" s="13"/>
      <c r="K60" s="13"/>
    </row>
    <row r="61" spans="1:11">
      <c r="A61" s="13"/>
      <c r="B61" s="13"/>
      <c r="C61" s="13"/>
      <c r="D61" s="13"/>
      <c r="E61" s="16"/>
      <c r="F61" s="14"/>
      <c r="G61" s="13"/>
      <c r="H61" s="14"/>
      <c r="I61" s="15"/>
      <c r="J61" s="13"/>
      <c r="K61" s="13"/>
    </row>
    <row r="62" spans="1:11">
      <c r="A62" s="13"/>
      <c r="B62" s="13"/>
      <c r="C62" s="13"/>
      <c r="D62" s="13"/>
      <c r="E62" s="16"/>
      <c r="F62" s="14"/>
      <c r="G62" s="13"/>
      <c r="H62" s="14"/>
      <c r="I62" s="15"/>
      <c r="J62" s="13"/>
      <c r="K62" s="13"/>
    </row>
    <row r="63" spans="1:11">
      <c r="A63" s="13"/>
      <c r="B63" s="13"/>
      <c r="C63" s="13"/>
      <c r="D63" s="13"/>
      <c r="E63" s="16"/>
      <c r="F63" s="14"/>
      <c r="G63" s="13"/>
      <c r="H63" s="14"/>
      <c r="I63" s="15"/>
      <c r="J63" s="13"/>
      <c r="K63" s="13"/>
    </row>
    <row r="64" spans="1:11">
      <c r="A64" s="13"/>
      <c r="B64" s="13"/>
      <c r="C64" s="13"/>
      <c r="D64" s="13"/>
      <c r="E64" s="16"/>
      <c r="F64" s="14"/>
      <c r="G64" s="13"/>
      <c r="H64" s="14"/>
      <c r="I64" s="15"/>
      <c r="J64" s="13"/>
      <c r="K64" s="13"/>
    </row>
    <row r="65" spans="1:11">
      <c r="A65" s="13"/>
      <c r="B65" s="13"/>
      <c r="C65" s="13"/>
      <c r="D65" s="13"/>
      <c r="E65" s="16"/>
      <c r="F65" s="14"/>
      <c r="G65" s="13"/>
      <c r="H65" s="14"/>
      <c r="I65" s="15"/>
      <c r="J65" s="13"/>
      <c r="K65" s="13"/>
    </row>
    <row r="66" spans="1:11">
      <c r="A66" s="13"/>
      <c r="B66" s="13"/>
      <c r="C66" s="13"/>
      <c r="D66" s="13"/>
      <c r="E66" s="16"/>
      <c r="F66" s="14"/>
      <c r="G66" s="13"/>
      <c r="H66" s="14"/>
      <c r="I66" s="15"/>
      <c r="J66" s="13"/>
      <c r="K66" s="13"/>
    </row>
    <row r="67" spans="1:11">
      <c r="A67" s="13"/>
      <c r="B67" s="13"/>
      <c r="C67" s="13"/>
      <c r="D67" s="13"/>
      <c r="E67" s="16"/>
      <c r="F67" s="14"/>
      <c r="G67" s="13"/>
      <c r="H67" s="14"/>
      <c r="I67" s="15"/>
      <c r="J67" s="13"/>
      <c r="K67" s="13"/>
    </row>
    <row r="68" spans="1:11">
      <c r="A68" s="13"/>
      <c r="B68" s="13"/>
      <c r="C68" s="13"/>
      <c r="D68" s="13"/>
      <c r="E68" s="16"/>
      <c r="F68" s="14"/>
      <c r="G68" s="13"/>
      <c r="H68" s="14"/>
      <c r="I68" s="15"/>
      <c r="J68" s="13"/>
      <c r="K68" s="13"/>
    </row>
    <row r="69" spans="1:11">
      <c r="A69" s="13"/>
      <c r="B69" s="13"/>
      <c r="C69" s="13"/>
      <c r="D69" s="13"/>
      <c r="E69" s="16"/>
      <c r="F69" s="14"/>
      <c r="G69" s="13"/>
      <c r="H69" s="14"/>
      <c r="I69" s="15"/>
    </row>
    <row r="70" spans="1:11">
      <c r="A70" s="13"/>
      <c r="B70" s="13"/>
      <c r="C70" s="13"/>
      <c r="D70" s="13"/>
      <c r="E70" s="16"/>
      <c r="F70" s="14"/>
      <c r="G70" s="13"/>
      <c r="H70" s="14"/>
      <c r="I70" s="15"/>
    </row>
    <row r="71" spans="1:11">
      <c r="A71" s="13"/>
      <c r="B71" s="13"/>
      <c r="C71" s="13"/>
      <c r="D71" s="13"/>
      <c r="E71" s="16"/>
      <c r="F71" s="14"/>
      <c r="G71" s="13"/>
      <c r="H71" s="14"/>
      <c r="I71" s="15"/>
    </row>
    <row r="72" spans="1:11">
      <c r="A72" s="13"/>
      <c r="B72" s="13"/>
      <c r="C72" s="13"/>
      <c r="D72" s="13"/>
      <c r="E72" s="16"/>
      <c r="F72" s="14"/>
      <c r="G72" s="13"/>
      <c r="H72" s="14"/>
      <c r="I72" s="15"/>
    </row>
    <row r="73" spans="1:11">
      <c r="A73" s="13"/>
      <c r="B73" s="13"/>
      <c r="C73" s="13"/>
      <c r="D73" s="13"/>
      <c r="E73" s="16"/>
      <c r="F73" s="14"/>
      <c r="G73" s="13"/>
      <c r="H73" s="14"/>
      <c r="I73" s="15"/>
    </row>
    <row r="74" spans="1:11">
      <c r="A74" s="13"/>
      <c r="B74" s="13"/>
      <c r="C74" s="13"/>
      <c r="D74" s="13"/>
      <c r="E74" s="16"/>
      <c r="F74" s="14"/>
      <c r="G74" s="13"/>
      <c r="H74" s="14"/>
      <c r="I74" s="15"/>
    </row>
    <row r="75" spans="1:11">
      <c r="A75" s="13"/>
      <c r="B75" s="13"/>
      <c r="C75" s="13"/>
      <c r="D75" s="13"/>
      <c r="E75" s="16"/>
      <c r="F75" s="14"/>
      <c r="G75" s="13"/>
      <c r="H75" s="14"/>
      <c r="I75" s="15"/>
    </row>
  </sheetData>
  <sortState xmlns:xlrd2="http://schemas.microsoft.com/office/spreadsheetml/2017/richdata2" ref="A24:K68">
    <sortCondition ref="B24:B68"/>
    <sortCondition ref="C24:C68"/>
    <sortCondition ref="A24:A68"/>
  </sortState>
  <phoneticPr fontId="5" type="noConversion"/>
  <hyperlinks>
    <hyperlink ref="M2" r:id="rId1" xr:uid="{CC6AA61B-4B14-4866-B2B1-44E08A6246DE}"/>
    <hyperlink ref="M9" r:id="rId2" xr:uid="{58671AAD-F2F2-47B6-9253-073208E89680}"/>
    <hyperlink ref="M16" r:id="rId3" xr:uid="{9936B76F-B377-4FE6-9BE3-317950F81D0C}"/>
    <hyperlink ref="N7" r:id="rId4" xr:uid="{34EB5817-7AEF-4055-973E-042FD52EDB95}"/>
    <hyperlink ref="K3" r:id="rId5" display="https://raw.githubusercontent.com/Rmoosa2014/Restaurant-menu/main/images/ItemImages/ITM001.jpg,https://raw.githubusercontent.com/Rmoosa2014/Restaurant-menu/main/images/ItemImages/ITM001.jpg,https://raw.githubusercontent.com/Rmoosa2014/Restaurant-menu/main/images/ItemImages/ITM001.jpg" xr:uid="{9D55401A-734C-478F-B8D1-3EA1DBF1054B}"/>
    <hyperlink ref="K6" r:id="rId6" xr:uid="{AB762D55-2876-46AD-BD09-CF7CECA0AC70}"/>
    <hyperlink ref="N15" r:id="rId7" xr:uid="{367C55C2-5B31-4F6C-8B5B-778B591A5594}"/>
    <hyperlink ref="N2" r:id="rId8" xr:uid="{92E7935C-C54F-4FA7-AD23-121F6D1B83AE}"/>
    <hyperlink ref="N6" r:id="rId9" xr:uid="{E50CEE3F-8265-4EFB-B2C2-60689A7334B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08CF-4A2A-487B-B8DA-F4FE3F992158}">
  <dimension ref="A1:M21"/>
  <sheetViews>
    <sheetView workbookViewId="0">
      <selection activeCell="F31" sqref="F31"/>
    </sheetView>
  </sheetViews>
  <sheetFormatPr defaultRowHeight="14.4"/>
  <cols>
    <col min="1" max="1" width="6.5234375" bestFit="1" customWidth="1"/>
    <col min="2" max="2" width="12.41796875" bestFit="1" customWidth="1"/>
    <col min="3" max="3" width="11.26171875" bestFit="1" customWidth="1"/>
    <col min="4" max="4" width="9.15625" bestFit="1" customWidth="1"/>
    <col min="5" max="5" width="14" bestFit="1" customWidth="1"/>
    <col min="6" max="6" width="4.9453125" bestFit="1" customWidth="1"/>
    <col min="7" max="7" width="71" bestFit="1" customWidth="1"/>
    <col min="8" max="8" width="7.578125" bestFit="1" customWidth="1"/>
    <col min="9" max="9" width="32.83984375" bestFit="1" customWidth="1"/>
    <col min="10" max="10" width="12.15625" bestFit="1" customWidth="1"/>
    <col min="11" max="11" width="22.41796875" customWidth="1"/>
    <col min="12" max="12" width="5.47265625" bestFit="1" customWidth="1"/>
  </cols>
  <sheetData>
    <row r="1" spans="1:13">
      <c r="A1" s="5" t="s">
        <v>56</v>
      </c>
      <c r="B1" s="6" t="s">
        <v>15</v>
      </c>
      <c r="C1" s="5" t="s">
        <v>57</v>
      </c>
      <c r="D1" s="6" t="s">
        <v>59</v>
      </c>
      <c r="E1" s="6" t="s">
        <v>60</v>
      </c>
      <c r="F1" s="6" t="s">
        <v>21</v>
      </c>
      <c r="G1" s="6" t="s">
        <v>63</v>
      </c>
      <c r="H1" s="11" t="s">
        <v>72</v>
      </c>
      <c r="I1" s="11" t="s">
        <v>97</v>
      </c>
      <c r="J1" s="6" t="s">
        <v>60</v>
      </c>
      <c r="K1" s="6" t="s">
        <v>21</v>
      </c>
      <c r="L1" s="6" t="s">
        <v>63</v>
      </c>
      <c r="M1" s="8" t="s">
        <v>72</v>
      </c>
    </row>
    <row r="2" spans="1:13">
      <c r="A2" s="4" t="s">
        <v>75</v>
      </c>
      <c r="B2" s="3"/>
      <c r="C2" s="3"/>
      <c r="D2" s="4"/>
      <c r="E2" s="3"/>
      <c r="F2" s="4"/>
      <c r="G2" s="3"/>
      <c r="H2" s="4"/>
      <c r="I2" s="3"/>
      <c r="J2" s="3"/>
      <c r="K2" s="2"/>
      <c r="L2" s="3"/>
    </row>
    <row r="3" spans="1:13">
      <c r="A3" s="4" t="s">
        <v>76</v>
      </c>
      <c r="B3" s="3"/>
      <c r="C3" s="3"/>
      <c r="D3" s="4"/>
      <c r="E3" s="3"/>
      <c r="F3" s="4"/>
      <c r="G3" s="3"/>
      <c r="H3" s="4"/>
      <c r="I3" s="3"/>
      <c r="J3" s="3"/>
      <c r="K3" s="3"/>
      <c r="L3" s="3"/>
    </row>
    <row r="4" spans="1:13">
      <c r="A4" s="4" t="s">
        <v>77</v>
      </c>
      <c r="B4" s="3"/>
      <c r="C4" s="3"/>
      <c r="D4" s="4"/>
      <c r="E4" s="3"/>
      <c r="F4" s="4"/>
      <c r="G4" s="3"/>
      <c r="H4" s="4"/>
      <c r="I4" s="3"/>
      <c r="J4" s="3"/>
      <c r="K4" s="3"/>
      <c r="L4" s="3"/>
    </row>
    <row r="5" spans="1:13">
      <c r="A5" s="4" t="s">
        <v>78</v>
      </c>
      <c r="B5" s="3"/>
      <c r="C5" s="3"/>
      <c r="D5" s="4"/>
      <c r="E5" s="3"/>
      <c r="F5" s="4"/>
      <c r="G5" s="3"/>
      <c r="H5" s="4"/>
      <c r="I5" s="3"/>
      <c r="J5" s="3"/>
      <c r="K5" s="3"/>
      <c r="L5" s="3"/>
    </row>
    <row r="6" spans="1:13">
      <c r="A6" s="4" t="s">
        <v>79</v>
      </c>
      <c r="B6" s="3"/>
      <c r="C6" s="3"/>
      <c r="D6" s="4"/>
      <c r="E6" s="3"/>
      <c r="F6" s="4"/>
      <c r="G6" s="3"/>
      <c r="H6" s="4"/>
      <c r="I6" s="3"/>
      <c r="J6" s="3"/>
      <c r="K6" s="3"/>
      <c r="L6" s="3"/>
    </row>
    <row r="7" spans="1:13">
      <c r="A7" s="4" t="s">
        <v>80</v>
      </c>
      <c r="B7" s="3"/>
      <c r="C7" s="3"/>
      <c r="D7" s="4"/>
      <c r="E7" s="3"/>
      <c r="F7" s="4"/>
      <c r="G7" s="3"/>
      <c r="H7" s="4"/>
      <c r="I7" s="3"/>
      <c r="J7" s="3"/>
      <c r="K7" s="3"/>
      <c r="L7" s="3"/>
    </row>
    <row r="8" spans="1:13">
      <c r="A8" s="4" t="s">
        <v>81</v>
      </c>
      <c r="B8" s="3"/>
      <c r="C8" s="3"/>
      <c r="D8" s="4"/>
      <c r="E8" s="3"/>
      <c r="F8" s="4"/>
      <c r="G8" s="3"/>
      <c r="H8" s="4"/>
      <c r="I8" s="3"/>
      <c r="J8" s="3"/>
      <c r="K8" s="3"/>
      <c r="L8" s="3"/>
    </row>
    <row r="9" spans="1:13">
      <c r="A9" s="4" t="s">
        <v>82</v>
      </c>
      <c r="B9" s="3"/>
      <c r="C9" s="3"/>
      <c r="D9" s="4"/>
      <c r="E9" s="3"/>
      <c r="F9" s="4"/>
      <c r="G9" s="3"/>
      <c r="H9" s="4"/>
      <c r="I9" s="3"/>
      <c r="J9" s="3"/>
      <c r="K9" s="3"/>
      <c r="L9" s="3"/>
    </row>
    <row r="10" spans="1:13">
      <c r="A10" s="4" t="s">
        <v>83</v>
      </c>
      <c r="B10" s="3"/>
      <c r="C10" s="3"/>
      <c r="D10" s="4"/>
      <c r="E10" s="3"/>
      <c r="F10" s="4"/>
      <c r="G10" s="3"/>
      <c r="H10" s="4"/>
      <c r="I10" s="3"/>
      <c r="J10" s="3"/>
      <c r="K10" s="3"/>
      <c r="L10" s="3"/>
    </row>
    <row r="11" spans="1:13">
      <c r="A11" s="4" t="s">
        <v>84</v>
      </c>
      <c r="B11" s="3"/>
      <c r="C11" s="3"/>
      <c r="D11" s="4"/>
      <c r="E11" s="3"/>
      <c r="F11" s="4"/>
      <c r="G11" s="3"/>
      <c r="H11" s="4"/>
      <c r="I11" s="3"/>
      <c r="J11" s="3"/>
      <c r="K11" s="3"/>
      <c r="L11" s="3"/>
    </row>
    <row r="12" spans="1:13">
      <c r="A12" s="4" t="s">
        <v>85</v>
      </c>
      <c r="B12" s="3"/>
      <c r="C12" s="3"/>
      <c r="D12" s="4"/>
      <c r="E12" s="3"/>
      <c r="F12" s="4"/>
      <c r="G12" s="3"/>
      <c r="H12" s="4"/>
      <c r="I12" s="3"/>
      <c r="J12" s="3"/>
      <c r="K12" s="3"/>
      <c r="L12" s="3"/>
    </row>
    <row r="13" spans="1:13">
      <c r="A13" s="4" t="s">
        <v>86</v>
      </c>
      <c r="B13" s="3"/>
      <c r="C13" s="3"/>
      <c r="D13" s="4"/>
      <c r="E13" s="3"/>
      <c r="F13" s="4"/>
      <c r="G13" s="3"/>
      <c r="H13" s="4"/>
      <c r="I13" s="3"/>
      <c r="J13" s="3"/>
      <c r="K13" s="3"/>
      <c r="L13" s="3"/>
    </row>
    <row r="14" spans="1:13">
      <c r="A14" s="4" t="s">
        <v>87</v>
      </c>
      <c r="B14" s="3"/>
      <c r="C14" s="3"/>
      <c r="D14" s="4"/>
      <c r="E14" s="3"/>
      <c r="F14" s="4"/>
      <c r="G14" s="3"/>
      <c r="H14" s="4"/>
      <c r="I14" s="3"/>
      <c r="J14" s="3"/>
      <c r="K14" s="3"/>
      <c r="L14" s="3"/>
    </row>
    <row r="15" spans="1:13">
      <c r="A15" s="4" t="s">
        <v>88</v>
      </c>
      <c r="B15" s="3"/>
      <c r="C15" s="3"/>
      <c r="D15" s="4"/>
      <c r="E15" s="3"/>
      <c r="F15" s="4"/>
      <c r="G15" s="3"/>
      <c r="H15" s="4"/>
      <c r="I15" s="3"/>
      <c r="J15" s="3"/>
      <c r="K15" s="3"/>
      <c r="L15" s="3"/>
    </row>
    <row r="16" spans="1:13">
      <c r="A16" s="4" t="s">
        <v>89</v>
      </c>
      <c r="B16" s="3"/>
      <c r="C16" s="3"/>
      <c r="D16" s="4"/>
      <c r="E16" s="3"/>
      <c r="F16" s="4"/>
      <c r="G16" s="3"/>
      <c r="H16" s="4"/>
      <c r="I16" s="3"/>
      <c r="J16" s="3"/>
      <c r="K16" s="3"/>
      <c r="L16" s="3"/>
    </row>
    <row r="17" spans="1:12">
      <c r="A17" s="4" t="s">
        <v>90</v>
      </c>
      <c r="B17" s="3"/>
      <c r="C17" s="3"/>
      <c r="D17" s="4"/>
      <c r="E17" s="3"/>
      <c r="F17" s="4"/>
      <c r="G17" s="3"/>
      <c r="H17" s="4"/>
      <c r="I17" s="3"/>
      <c r="J17" s="3"/>
      <c r="K17" s="3"/>
      <c r="L17" s="3"/>
    </row>
    <row r="18" spans="1:12">
      <c r="A18" s="4" t="s">
        <v>91</v>
      </c>
      <c r="B18" s="3"/>
      <c r="C18" s="3"/>
      <c r="D18" s="4"/>
      <c r="E18" s="3"/>
      <c r="F18" s="4"/>
      <c r="G18" s="3"/>
      <c r="H18" s="4"/>
      <c r="I18" s="3"/>
      <c r="J18" s="3"/>
      <c r="K18" s="3"/>
      <c r="L18" s="3"/>
    </row>
    <row r="19" spans="1:12">
      <c r="A19" s="4" t="s">
        <v>92</v>
      </c>
      <c r="B19" s="3"/>
      <c r="C19" s="3"/>
      <c r="D19" s="4"/>
      <c r="E19" s="3"/>
      <c r="F19" s="4"/>
      <c r="G19" s="3"/>
      <c r="H19" s="4"/>
      <c r="I19" s="3"/>
      <c r="J19" s="3"/>
      <c r="K19" s="3"/>
      <c r="L19" s="3"/>
    </row>
    <row r="20" spans="1:12">
      <c r="A20" s="4" t="s">
        <v>93</v>
      </c>
      <c r="B20" s="3"/>
      <c r="C20" s="3"/>
      <c r="D20" s="4"/>
      <c r="E20" s="3"/>
      <c r="F20" s="4"/>
      <c r="G20" s="3"/>
      <c r="H20" s="4"/>
      <c r="I20" s="3"/>
      <c r="J20" s="3"/>
      <c r="K20" s="3"/>
      <c r="L20" s="3"/>
    </row>
    <row r="21" spans="1:12">
      <c r="A21" s="4" t="s">
        <v>94</v>
      </c>
      <c r="B21" s="3"/>
      <c r="C21" s="3"/>
      <c r="D21" s="4"/>
      <c r="E21" s="3"/>
      <c r="F21" s="4"/>
      <c r="G21" s="3"/>
      <c r="H21" s="4"/>
      <c r="I21" s="3"/>
      <c r="J21" s="3"/>
      <c r="K21" s="3"/>
      <c r="L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A371-CE34-405E-BD66-2ABB6E4FC501}">
  <dimension ref="A1:M23"/>
  <sheetViews>
    <sheetView workbookViewId="0">
      <selection activeCell="P23" sqref="P22:P23"/>
    </sheetView>
  </sheetViews>
  <sheetFormatPr defaultRowHeight="14.4"/>
  <cols>
    <col min="1" max="1" width="8.83984375" style="1"/>
    <col min="2" max="2" width="14" style="1" bestFit="1" customWidth="1"/>
    <col min="4" max="4" width="12.41796875" customWidth="1"/>
  </cols>
  <sheetData>
    <row r="1" spans="1:13">
      <c r="A1" s="4" t="s">
        <v>61</v>
      </c>
      <c r="B1" s="4" t="s">
        <v>70</v>
      </c>
      <c r="C1" s="3" t="s">
        <v>99</v>
      </c>
      <c r="D1" s="3" t="s">
        <v>96</v>
      </c>
      <c r="E1" s="3"/>
      <c r="F1" s="3"/>
      <c r="G1" s="3"/>
      <c r="H1" s="3"/>
      <c r="I1" s="3"/>
      <c r="J1" s="3"/>
      <c r="K1" s="3"/>
      <c r="L1" s="3"/>
      <c r="M1" s="3"/>
    </row>
    <row r="2" spans="1:13">
      <c r="A2" s="4">
        <v>1</v>
      </c>
      <c r="B2" s="10" t="s">
        <v>38</v>
      </c>
      <c r="C2" s="4" t="s">
        <v>75</v>
      </c>
      <c r="D2" s="3" t="s">
        <v>77</v>
      </c>
      <c r="E2" s="3" t="s">
        <v>78</v>
      </c>
      <c r="F2" s="4" t="s">
        <v>79</v>
      </c>
      <c r="G2" s="4" t="s">
        <v>88</v>
      </c>
      <c r="H2" s="4" t="s">
        <v>92</v>
      </c>
      <c r="I2" s="3"/>
      <c r="J2" s="3"/>
      <c r="K2" s="3"/>
      <c r="L2" s="3"/>
      <c r="M2" s="3"/>
    </row>
    <row r="3" spans="1:13">
      <c r="A3" s="4">
        <v>2</v>
      </c>
      <c r="B3" s="10" t="s">
        <v>39</v>
      </c>
      <c r="C3" s="4" t="s">
        <v>76</v>
      </c>
      <c r="D3" s="3" t="s">
        <v>77</v>
      </c>
      <c r="E3" s="3" t="s">
        <v>78</v>
      </c>
      <c r="F3" s="4" t="s">
        <v>79</v>
      </c>
      <c r="G3" s="4" t="s">
        <v>88</v>
      </c>
      <c r="H3" s="4" t="s">
        <v>92</v>
      </c>
      <c r="I3" s="3"/>
      <c r="J3" s="3"/>
      <c r="K3" s="3"/>
      <c r="L3" s="3"/>
      <c r="M3" s="3"/>
    </row>
    <row r="4" spans="1:13">
      <c r="A4" s="4">
        <v>3</v>
      </c>
      <c r="B4" s="10" t="s">
        <v>40</v>
      </c>
      <c r="C4" s="4" t="s">
        <v>77</v>
      </c>
      <c r="D4" s="4" t="s">
        <v>88</v>
      </c>
      <c r="E4" s="4" t="s">
        <v>79</v>
      </c>
      <c r="F4" s="3"/>
      <c r="G4" s="3"/>
      <c r="H4" s="3"/>
      <c r="I4" s="3"/>
      <c r="J4" s="3"/>
      <c r="K4" s="3"/>
      <c r="L4" s="3"/>
      <c r="M4" s="3"/>
    </row>
    <row r="5" spans="1:13">
      <c r="A5" s="4">
        <v>4</v>
      </c>
      <c r="B5" s="10" t="s">
        <v>41</v>
      </c>
      <c r="C5" s="4" t="s">
        <v>78</v>
      </c>
      <c r="D5" s="4" t="s">
        <v>88</v>
      </c>
      <c r="E5" s="4" t="s">
        <v>79</v>
      </c>
      <c r="F5" s="4" t="s">
        <v>79</v>
      </c>
      <c r="G5" s="3"/>
      <c r="H5" s="3"/>
      <c r="I5" s="3"/>
      <c r="J5" s="3"/>
      <c r="K5" s="3"/>
      <c r="L5" s="3"/>
      <c r="M5" s="3"/>
    </row>
    <row r="6" spans="1:13">
      <c r="A6" s="4">
        <v>5</v>
      </c>
      <c r="B6" s="10" t="s">
        <v>42</v>
      </c>
      <c r="C6" s="4" t="s">
        <v>79</v>
      </c>
      <c r="D6" s="4" t="s">
        <v>78</v>
      </c>
      <c r="E6" s="4" t="s">
        <v>88</v>
      </c>
      <c r="F6" s="4" t="s">
        <v>79</v>
      </c>
      <c r="G6" s="4" t="s">
        <v>79</v>
      </c>
      <c r="H6" s="3"/>
      <c r="I6" s="3"/>
      <c r="J6" s="3"/>
      <c r="K6" s="3"/>
      <c r="L6" s="3"/>
      <c r="M6" s="3"/>
    </row>
    <row r="7" spans="1:13">
      <c r="A7" s="4">
        <v>6</v>
      </c>
      <c r="B7" s="10" t="s">
        <v>45</v>
      </c>
      <c r="C7" s="4" t="s">
        <v>80</v>
      </c>
      <c r="D7" s="4" t="s">
        <v>79</v>
      </c>
      <c r="E7" s="4" t="s">
        <v>91</v>
      </c>
      <c r="F7" s="4" t="s">
        <v>92</v>
      </c>
      <c r="G7" s="4" t="s">
        <v>88</v>
      </c>
      <c r="H7" s="4" t="s">
        <v>89</v>
      </c>
      <c r="I7" s="3"/>
      <c r="J7" s="3"/>
      <c r="K7" s="3"/>
      <c r="L7" s="3"/>
      <c r="M7" s="3"/>
    </row>
    <row r="8" spans="1:13">
      <c r="A8" s="4">
        <v>7</v>
      </c>
      <c r="B8" s="10" t="s">
        <v>43</v>
      </c>
      <c r="C8" s="4" t="s">
        <v>81</v>
      </c>
      <c r="D8" s="4" t="s">
        <v>79</v>
      </c>
      <c r="E8" s="4" t="s">
        <v>91</v>
      </c>
      <c r="F8" s="4" t="s">
        <v>92</v>
      </c>
      <c r="G8" s="4" t="s">
        <v>88</v>
      </c>
      <c r="H8" s="4" t="s">
        <v>89</v>
      </c>
      <c r="I8" s="4" t="s">
        <v>93</v>
      </c>
      <c r="J8" s="4" t="s">
        <v>94</v>
      </c>
      <c r="K8" s="4" t="s">
        <v>88</v>
      </c>
      <c r="L8" s="4" t="s">
        <v>79</v>
      </c>
      <c r="M8" s="4" t="s">
        <v>91</v>
      </c>
    </row>
    <row r="9" spans="1:13">
      <c r="A9" s="4">
        <v>8</v>
      </c>
      <c r="B9" s="10" t="s">
        <v>44</v>
      </c>
      <c r="C9" s="4" t="s">
        <v>82</v>
      </c>
      <c r="D9" s="4" t="s">
        <v>79</v>
      </c>
      <c r="E9" s="4" t="s">
        <v>91</v>
      </c>
      <c r="F9" s="4" t="s">
        <v>92</v>
      </c>
      <c r="G9" s="4" t="s">
        <v>88</v>
      </c>
      <c r="H9" s="4" t="s">
        <v>89</v>
      </c>
      <c r="I9" s="4" t="s">
        <v>93</v>
      </c>
      <c r="J9" s="3"/>
      <c r="L9" s="3"/>
      <c r="M9" s="3"/>
    </row>
    <row r="10" spans="1:13">
      <c r="A10" s="4">
        <v>9</v>
      </c>
      <c r="B10" s="10" t="s">
        <v>50</v>
      </c>
      <c r="C10" s="4" t="s">
        <v>83</v>
      </c>
      <c r="D10" s="4" t="s">
        <v>79</v>
      </c>
      <c r="E10" s="4" t="s">
        <v>91</v>
      </c>
      <c r="F10" s="4" t="s">
        <v>92</v>
      </c>
      <c r="G10" s="4" t="s">
        <v>88</v>
      </c>
      <c r="H10" s="4" t="s">
        <v>89</v>
      </c>
      <c r="I10" s="4" t="s">
        <v>93</v>
      </c>
      <c r="J10" s="3"/>
      <c r="K10" s="3"/>
      <c r="L10" s="3"/>
      <c r="M10" s="3"/>
    </row>
    <row r="11" spans="1:13">
      <c r="A11" s="4">
        <v>10</v>
      </c>
      <c r="B11" s="10" t="s">
        <v>49</v>
      </c>
      <c r="C11" s="4" t="s">
        <v>84</v>
      </c>
      <c r="D11" s="4" t="s">
        <v>79</v>
      </c>
      <c r="E11" s="4" t="s">
        <v>91</v>
      </c>
      <c r="F11" s="4" t="s">
        <v>92</v>
      </c>
      <c r="G11" s="4" t="s">
        <v>88</v>
      </c>
      <c r="H11" s="4" t="s">
        <v>89</v>
      </c>
      <c r="I11" s="4"/>
      <c r="J11" s="3"/>
      <c r="K11" s="3"/>
      <c r="L11" s="3"/>
      <c r="M11" s="3"/>
    </row>
    <row r="12" spans="1:13">
      <c r="A12" s="4">
        <v>11</v>
      </c>
      <c r="B12" s="10" t="s">
        <v>45</v>
      </c>
      <c r="C12" s="4" t="s">
        <v>85</v>
      </c>
      <c r="D12" s="4" t="s">
        <v>79</v>
      </c>
      <c r="E12" s="4" t="s">
        <v>91</v>
      </c>
      <c r="F12" s="4" t="s">
        <v>92</v>
      </c>
      <c r="G12" s="4" t="s">
        <v>88</v>
      </c>
      <c r="H12" s="4" t="s">
        <v>89</v>
      </c>
      <c r="I12" s="4" t="s">
        <v>93</v>
      </c>
      <c r="J12" s="4" t="s">
        <v>94</v>
      </c>
      <c r="K12" s="4" t="s">
        <v>88</v>
      </c>
      <c r="L12" s="4" t="s">
        <v>79</v>
      </c>
      <c r="M12" s="3"/>
    </row>
    <row r="13" spans="1:13">
      <c r="A13" s="4">
        <v>12</v>
      </c>
      <c r="B13" s="10" t="s">
        <v>43</v>
      </c>
      <c r="C13" s="4" t="s">
        <v>86</v>
      </c>
      <c r="D13" s="4" t="s">
        <v>79</v>
      </c>
      <c r="E13" s="4" t="s">
        <v>91</v>
      </c>
      <c r="F13" s="4" t="s">
        <v>92</v>
      </c>
      <c r="G13" s="4" t="s">
        <v>88</v>
      </c>
      <c r="H13" s="4" t="s">
        <v>89</v>
      </c>
      <c r="I13" s="4" t="s">
        <v>93</v>
      </c>
      <c r="J13" s="4" t="s">
        <v>94</v>
      </c>
      <c r="K13" s="4" t="s">
        <v>88</v>
      </c>
      <c r="L13" s="4" t="s">
        <v>79</v>
      </c>
      <c r="M13" s="3"/>
    </row>
    <row r="14" spans="1:13">
      <c r="A14" s="4">
        <v>13</v>
      </c>
      <c r="B14" s="10" t="s">
        <v>44</v>
      </c>
      <c r="C14" s="4" t="s">
        <v>87</v>
      </c>
      <c r="D14" s="4" t="s">
        <v>79</v>
      </c>
      <c r="E14" s="4" t="s">
        <v>91</v>
      </c>
      <c r="F14" s="4" t="s">
        <v>92</v>
      </c>
      <c r="G14" s="4" t="s">
        <v>88</v>
      </c>
      <c r="H14" s="4" t="s">
        <v>89</v>
      </c>
      <c r="I14" s="4" t="s">
        <v>93</v>
      </c>
      <c r="J14" s="4" t="s">
        <v>94</v>
      </c>
      <c r="K14" s="4" t="s">
        <v>88</v>
      </c>
      <c r="L14" s="4" t="s">
        <v>79</v>
      </c>
      <c r="M14" s="3"/>
    </row>
    <row r="15" spans="1:13">
      <c r="A15" s="4">
        <v>14</v>
      </c>
      <c r="B15" s="10" t="s">
        <v>46</v>
      </c>
      <c r="C15" s="4" t="s">
        <v>88</v>
      </c>
      <c r="D15" s="4" t="s">
        <v>79</v>
      </c>
      <c r="E15" s="4" t="s">
        <v>75</v>
      </c>
      <c r="F15" s="4" t="s">
        <v>76</v>
      </c>
      <c r="G15" s="4" t="s">
        <v>91</v>
      </c>
      <c r="H15" s="4" t="s">
        <v>92</v>
      </c>
      <c r="I15" s="4" t="s">
        <v>93</v>
      </c>
      <c r="J15" s="3"/>
      <c r="K15" s="3"/>
      <c r="L15" s="3"/>
      <c r="M15" s="3"/>
    </row>
    <row r="16" spans="1:13">
      <c r="A16" s="4">
        <v>15</v>
      </c>
      <c r="B16" s="10" t="s">
        <v>47</v>
      </c>
      <c r="C16" s="4" t="s">
        <v>89</v>
      </c>
      <c r="D16" s="4" t="s">
        <v>79</v>
      </c>
      <c r="E16" s="4" t="s">
        <v>75</v>
      </c>
      <c r="F16" s="4" t="s">
        <v>76</v>
      </c>
      <c r="G16" s="4" t="s">
        <v>91</v>
      </c>
      <c r="H16" s="4"/>
      <c r="I16" s="4" t="s">
        <v>93</v>
      </c>
      <c r="J16" s="3"/>
      <c r="K16" s="3"/>
      <c r="L16" s="3"/>
      <c r="M16" s="3"/>
    </row>
    <row r="17" spans="1:13">
      <c r="A17" s="4">
        <v>16</v>
      </c>
      <c r="B17" s="10" t="s">
        <v>51</v>
      </c>
      <c r="C17" s="4" t="s">
        <v>90</v>
      </c>
      <c r="D17" s="4" t="s">
        <v>79</v>
      </c>
      <c r="E17" s="4" t="s">
        <v>75</v>
      </c>
      <c r="F17" s="4" t="s">
        <v>76</v>
      </c>
      <c r="G17" s="4" t="s">
        <v>91</v>
      </c>
      <c r="H17" s="4" t="s">
        <v>92</v>
      </c>
      <c r="I17" s="4" t="s">
        <v>93</v>
      </c>
      <c r="J17" s="3"/>
      <c r="K17" s="3"/>
      <c r="L17" s="3"/>
      <c r="M17" s="3"/>
    </row>
    <row r="18" spans="1:13">
      <c r="A18" s="4">
        <v>17</v>
      </c>
      <c r="B18" s="10" t="s">
        <v>52</v>
      </c>
      <c r="C18" s="4" t="s">
        <v>91</v>
      </c>
      <c r="D18" s="4" t="s">
        <v>79</v>
      </c>
      <c r="E18" s="4" t="s">
        <v>75</v>
      </c>
      <c r="F18" s="4" t="s">
        <v>76</v>
      </c>
      <c r="G18" s="4" t="s">
        <v>91</v>
      </c>
      <c r="H18" s="4" t="s">
        <v>92</v>
      </c>
      <c r="I18" s="4" t="s">
        <v>93</v>
      </c>
      <c r="J18" s="3"/>
      <c r="K18" s="3"/>
      <c r="L18" s="3"/>
      <c r="M18" s="3"/>
    </row>
    <row r="19" spans="1:13">
      <c r="A19" s="4">
        <v>18</v>
      </c>
      <c r="B19" s="10" t="s">
        <v>53</v>
      </c>
      <c r="C19" s="4" t="s">
        <v>92</v>
      </c>
      <c r="D19" s="4" t="s">
        <v>79</v>
      </c>
      <c r="E19" s="4" t="s">
        <v>75</v>
      </c>
      <c r="F19" s="4" t="s">
        <v>76</v>
      </c>
      <c r="G19" s="4" t="s">
        <v>91</v>
      </c>
      <c r="H19" s="4" t="s">
        <v>92</v>
      </c>
      <c r="I19" s="4" t="s">
        <v>93</v>
      </c>
      <c r="J19" s="3"/>
      <c r="K19" s="3"/>
      <c r="L19" s="3"/>
      <c r="M19" s="3"/>
    </row>
    <row r="20" spans="1:13">
      <c r="A20" s="4">
        <v>19</v>
      </c>
      <c r="B20" s="10" t="s">
        <v>54</v>
      </c>
      <c r="C20" s="4" t="s">
        <v>93</v>
      </c>
      <c r="D20" s="4" t="s">
        <v>79</v>
      </c>
      <c r="E20" s="4" t="s">
        <v>75</v>
      </c>
      <c r="F20" s="4" t="s">
        <v>76</v>
      </c>
      <c r="G20" s="4" t="s">
        <v>91</v>
      </c>
      <c r="H20" s="4" t="s">
        <v>92</v>
      </c>
      <c r="I20" s="4" t="s">
        <v>93</v>
      </c>
      <c r="J20" s="3"/>
      <c r="K20" s="3"/>
      <c r="L20" s="3"/>
      <c r="M20" s="3"/>
    </row>
    <row r="21" spans="1:13">
      <c r="A21" s="4">
        <v>20</v>
      </c>
      <c r="B21" s="10" t="s">
        <v>55</v>
      </c>
      <c r="C21" s="4" t="s">
        <v>94</v>
      </c>
      <c r="D21" s="4" t="s">
        <v>79</v>
      </c>
      <c r="E21" s="4" t="s">
        <v>75</v>
      </c>
      <c r="F21" s="4" t="s">
        <v>76</v>
      </c>
      <c r="G21" s="4" t="s">
        <v>91</v>
      </c>
      <c r="H21" s="4" t="s">
        <v>92</v>
      </c>
      <c r="I21" s="4" t="s">
        <v>93</v>
      </c>
      <c r="J21" s="3"/>
      <c r="K21" s="3"/>
      <c r="L21" s="3"/>
      <c r="M21" s="3"/>
    </row>
    <row r="22" spans="1:13">
      <c r="B22" s="9"/>
    </row>
    <row r="23" spans="1:13">
      <c r="B23" s="9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43A2-32B5-4707-8810-85425DA4CA13}">
  <dimension ref="A1:C201"/>
  <sheetViews>
    <sheetView workbookViewId="0">
      <pane ySplit="1" topLeftCell="A2" activePane="bottomLeft" state="frozen"/>
      <selection pane="bottomLeft" activeCell="B201" sqref="B201"/>
    </sheetView>
  </sheetViews>
  <sheetFormatPr defaultColWidth="19.83984375" defaultRowHeight="14.4"/>
  <cols>
    <col min="1" max="1" width="6.5234375" customWidth="1"/>
    <col min="2" max="2" width="9.15625" customWidth="1"/>
  </cols>
  <sheetData>
    <row r="1" spans="1:3">
      <c r="A1" s="20" t="s">
        <v>61</v>
      </c>
      <c r="B1" s="5" t="s">
        <v>99</v>
      </c>
      <c r="C1" s="6" t="s">
        <v>70</v>
      </c>
    </row>
    <row r="2" spans="1:3">
      <c r="A2">
        <v>1</v>
      </c>
      <c r="B2" s="13" t="s">
        <v>75</v>
      </c>
      <c r="C2" s="13" t="s">
        <v>38</v>
      </c>
    </row>
    <row r="3" spans="1:3">
      <c r="A3">
        <v>2</v>
      </c>
      <c r="B3" s="13" t="s">
        <v>76</v>
      </c>
      <c r="C3" s="13" t="s">
        <v>39</v>
      </c>
    </row>
    <row r="4" spans="1:3">
      <c r="A4">
        <v>3</v>
      </c>
      <c r="B4" s="13" t="s">
        <v>77</v>
      </c>
      <c r="C4" s="13" t="s">
        <v>102</v>
      </c>
    </row>
    <row r="5" spans="1:3">
      <c r="A5">
        <v>4</v>
      </c>
      <c r="B5" s="13" t="s">
        <v>78</v>
      </c>
      <c r="C5" s="13" t="s">
        <v>105</v>
      </c>
    </row>
    <row r="6" spans="1:3">
      <c r="A6">
        <v>5</v>
      </c>
      <c r="B6" s="13" t="s">
        <v>79</v>
      </c>
      <c r="C6" s="13" t="s">
        <v>118</v>
      </c>
    </row>
    <row r="7" spans="1:3">
      <c r="A7">
        <v>6</v>
      </c>
      <c r="B7" s="13" t="s">
        <v>80</v>
      </c>
      <c r="C7" s="13" t="s">
        <v>186</v>
      </c>
    </row>
    <row r="8" spans="1:3">
      <c r="A8">
        <v>7</v>
      </c>
      <c r="B8" s="13" t="s">
        <v>81</v>
      </c>
      <c r="C8" s="13" t="s">
        <v>109</v>
      </c>
    </row>
    <row r="9" spans="1:3">
      <c r="A9">
        <v>8</v>
      </c>
      <c r="B9" s="13" t="s">
        <v>82</v>
      </c>
      <c r="C9" s="13" t="s">
        <v>113</v>
      </c>
    </row>
    <row r="10" spans="1:3">
      <c r="A10">
        <v>9</v>
      </c>
      <c r="B10" s="13" t="s">
        <v>83</v>
      </c>
      <c r="C10" s="13" t="s">
        <v>49</v>
      </c>
    </row>
    <row r="11" spans="1:3">
      <c r="A11">
        <v>10</v>
      </c>
      <c r="B11" s="13" t="s">
        <v>84</v>
      </c>
      <c r="C11" s="13" t="s">
        <v>50</v>
      </c>
    </row>
    <row r="12" spans="1:3">
      <c r="A12">
        <v>11</v>
      </c>
      <c r="B12" s="13" t="s">
        <v>85</v>
      </c>
      <c r="C12" s="13" t="s">
        <v>122</v>
      </c>
    </row>
    <row r="13" spans="1:3">
      <c r="A13">
        <v>12</v>
      </c>
      <c r="B13" s="13" t="s">
        <v>86</v>
      </c>
      <c r="C13" s="13" t="s">
        <v>206</v>
      </c>
    </row>
    <row r="14" spans="1:3">
      <c r="A14">
        <v>13</v>
      </c>
      <c r="B14" s="13" t="s">
        <v>87</v>
      </c>
      <c r="C14" s="13" t="s">
        <v>44</v>
      </c>
    </row>
    <row r="15" spans="1:3">
      <c r="A15">
        <v>14</v>
      </c>
      <c r="B15" s="13" t="s">
        <v>88</v>
      </c>
      <c r="C15" s="13" t="s">
        <v>43</v>
      </c>
    </row>
    <row r="16" spans="1:3">
      <c r="A16">
        <v>15</v>
      </c>
      <c r="B16" s="13" t="s">
        <v>89</v>
      </c>
      <c r="C16" s="13" t="s">
        <v>190</v>
      </c>
    </row>
    <row r="17" spans="1:3">
      <c r="A17">
        <v>16</v>
      </c>
      <c r="B17" s="13" t="s">
        <v>90</v>
      </c>
      <c r="C17" s="13" t="s">
        <v>126</v>
      </c>
    </row>
    <row r="18" spans="1:3">
      <c r="A18">
        <v>17</v>
      </c>
      <c r="B18" s="13" t="s">
        <v>91</v>
      </c>
      <c r="C18" s="13" t="s">
        <v>131</v>
      </c>
    </row>
    <row r="19" spans="1:3">
      <c r="A19">
        <v>18</v>
      </c>
      <c r="B19" s="13" t="s">
        <v>92</v>
      </c>
      <c r="C19" s="13" t="s">
        <v>135</v>
      </c>
    </row>
    <row r="20" spans="1:3">
      <c r="A20">
        <v>19</v>
      </c>
      <c r="B20" s="13" t="s">
        <v>93</v>
      </c>
      <c r="C20" s="13" t="s">
        <v>142</v>
      </c>
    </row>
    <row r="21" spans="1:3">
      <c r="A21">
        <v>20</v>
      </c>
      <c r="B21" s="13" t="s">
        <v>94</v>
      </c>
      <c r="C21" s="13" t="s">
        <v>214</v>
      </c>
    </row>
    <row r="22" spans="1:3">
      <c r="A22">
        <v>21</v>
      </c>
      <c r="B22" s="13" t="s">
        <v>100</v>
      </c>
      <c r="C22" s="13" t="s">
        <v>215</v>
      </c>
    </row>
    <row r="23" spans="1:3">
      <c r="A23">
        <v>22</v>
      </c>
      <c r="B23" s="13" t="s">
        <v>104</v>
      </c>
      <c r="C23" s="13" t="s">
        <v>178</v>
      </c>
    </row>
    <row r="24" spans="1:3">
      <c r="A24">
        <v>23</v>
      </c>
      <c r="B24" s="13" t="s">
        <v>95</v>
      </c>
      <c r="C24" s="13" t="s">
        <v>148</v>
      </c>
    </row>
    <row r="25" spans="1:3">
      <c r="A25">
        <v>24</v>
      </c>
      <c r="B25" s="13" t="s">
        <v>112</v>
      </c>
      <c r="C25" s="13" t="s">
        <v>46</v>
      </c>
    </row>
    <row r="26" spans="1:3">
      <c r="A26">
        <v>25</v>
      </c>
      <c r="B26" s="13" t="s">
        <v>116</v>
      </c>
      <c r="C26" s="13" t="s">
        <v>152</v>
      </c>
    </row>
    <row r="27" spans="1:3">
      <c r="A27">
        <v>26</v>
      </c>
      <c r="B27" s="13" t="s">
        <v>121</v>
      </c>
      <c r="C27" s="13" t="s">
        <v>47</v>
      </c>
    </row>
    <row r="28" spans="1:3">
      <c r="A28">
        <v>27</v>
      </c>
      <c r="B28" s="13" t="s">
        <v>125</v>
      </c>
      <c r="C28" s="13" t="s">
        <v>182</v>
      </c>
    </row>
    <row r="29" spans="1:3">
      <c r="A29">
        <v>28</v>
      </c>
      <c r="B29" s="13" t="s">
        <v>129</v>
      </c>
      <c r="C29" s="13" t="s">
        <v>155</v>
      </c>
    </row>
    <row r="30" spans="1:3">
      <c r="A30">
        <v>29</v>
      </c>
      <c r="B30" s="13" t="s">
        <v>134</v>
      </c>
      <c r="C30" s="13" t="s">
        <v>222</v>
      </c>
    </row>
    <row r="31" spans="1:3">
      <c r="A31">
        <v>30</v>
      </c>
      <c r="B31" s="13" t="s">
        <v>137</v>
      </c>
      <c r="C31" s="13" t="s">
        <v>225</v>
      </c>
    </row>
    <row r="32" spans="1:3">
      <c r="A32">
        <v>31</v>
      </c>
      <c r="B32" s="13" t="s">
        <v>141</v>
      </c>
      <c r="C32" s="13" t="s">
        <v>168</v>
      </c>
    </row>
    <row r="33" spans="1:3">
      <c r="A33">
        <v>32</v>
      </c>
      <c r="B33" s="13" t="s">
        <v>145</v>
      </c>
      <c r="C33" s="13" t="s">
        <v>229</v>
      </c>
    </row>
    <row r="34" spans="1:3">
      <c r="A34">
        <v>33</v>
      </c>
      <c r="B34" s="13" t="s">
        <v>147</v>
      </c>
      <c r="C34" s="13" t="s">
        <v>232</v>
      </c>
    </row>
    <row r="35" spans="1:3">
      <c r="A35">
        <v>34</v>
      </c>
      <c r="B35" s="13" t="s">
        <v>151</v>
      </c>
      <c r="C35" s="13" t="s">
        <v>235</v>
      </c>
    </row>
    <row r="36" spans="1:3">
      <c r="A36">
        <v>35</v>
      </c>
      <c r="B36" s="13" t="s">
        <v>154</v>
      </c>
      <c r="C36" s="13" t="s">
        <v>238</v>
      </c>
    </row>
    <row r="37" spans="1:3">
      <c r="A37">
        <v>36</v>
      </c>
      <c r="B37" s="13" t="s">
        <v>158</v>
      </c>
      <c r="C37" s="13" t="s">
        <v>240</v>
      </c>
    </row>
    <row r="38" spans="1:3">
      <c r="A38">
        <v>37</v>
      </c>
      <c r="B38" s="13" t="s">
        <v>162</v>
      </c>
      <c r="C38" s="13" t="s">
        <v>243</v>
      </c>
    </row>
    <row r="39" spans="1:3">
      <c r="A39">
        <v>38</v>
      </c>
      <c r="B39" s="13" t="s">
        <v>167</v>
      </c>
      <c r="C39" s="13" t="s">
        <v>246</v>
      </c>
    </row>
    <row r="40" spans="1:3">
      <c r="A40">
        <v>39</v>
      </c>
      <c r="B40" s="13" t="s">
        <v>170</v>
      </c>
      <c r="C40" s="13" t="s">
        <v>247</v>
      </c>
    </row>
    <row r="41" spans="1:3">
      <c r="A41">
        <v>40</v>
      </c>
      <c r="B41" s="13" t="s">
        <v>174</v>
      </c>
      <c r="C41" s="13" t="s">
        <v>250</v>
      </c>
    </row>
    <row r="42" spans="1:3">
      <c r="A42">
        <v>41</v>
      </c>
      <c r="B42" s="13" t="s">
        <v>177</v>
      </c>
      <c r="C42" s="13" t="s">
        <v>253</v>
      </c>
    </row>
    <row r="43" spans="1:3">
      <c r="A43">
        <v>42</v>
      </c>
      <c r="B43" s="13" t="s">
        <v>181</v>
      </c>
      <c r="C43" s="13" t="s">
        <v>255</v>
      </c>
    </row>
    <row r="44" spans="1:3">
      <c r="A44">
        <v>43</v>
      </c>
      <c r="B44" s="13" t="s">
        <v>185</v>
      </c>
      <c r="C44" s="13" t="s">
        <v>258</v>
      </c>
    </row>
    <row r="45" spans="1:3">
      <c r="A45">
        <v>44</v>
      </c>
      <c r="B45" s="13" t="s">
        <v>189</v>
      </c>
      <c r="C45" s="13" t="s">
        <v>261</v>
      </c>
    </row>
    <row r="46" spans="1:3">
      <c r="A46">
        <v>45</v>
      </c>
      <c r="B46" s="13" t="s">
        <v>193</v>
      </c>
      <c r="C46" s="13" t="s">
        <v>159</v>
      </c>
    </row>
    <row r="47" spans="1:3">
      <c r="A47">
        <v>46</v>
      </c>
      <c r="B47" s="13" t="s">
        <v>264</v>
      </c>
      <c r="C47" s="13" t="s">
        <v>194</v>
      </c>
    </row>
    <row r="48" spans="1:3">
      <c r="A48">
        <v>47</v>
      </c>
      <c r="B48" s="13" t="s">
        <v>265</v>
      </c>
      <c r="C48" s="13" t="s">
        <v>164</v>
      </c>
    </row>
    <row r="49" spans="1:3">
      <c r="A49">
        <v>48</v>
      </c>
      <c r="B49" s="13" t="s">
        <v>266</v>
      </c>
      <c r="C49" s="13" t="s">
        <v>267</v>
      </c>
    </row>
    <row r="50" spans="1:3">
      <c r="A50">
        <v>49</v>
      </c>
      <c r="B50" s="13" t="s">
        <v>270</v>
      </c>
      <c r="C50" s="13" t="s">
        <v>271</v>
      </c>
    </row>
    <row r="51" spans="1:3">
      <c r="A51">
        <v>50</v>
      </c>
      <c r="B51" s="13" t="s">
        <v>274</v>
      </c>
      <c r="C51" s="13" t="s">
        <v>276</v>
      </c>
    </row>
    <row r="52" spans="1:3">
      <c r="A52">
        <v>51</v>
      </c>
      <c r="B52" s="13" t="s">
        <v>277</v>
      </c>
      <c r="C52" s="13" t="s">
        <v>278</v>
      </c>
    </row>
    <row r="53" spans="1:3">
      <c r="A53">
        <v>52</v>
      </c>
      <c r="B53" s="13" t="s">
        <v>305</v>
      </c>
    </row>
    <row r="54" spans="1:3">
      <c r="A54">
        <v>53</v>
      </c>
      <c r="B54" s="13" t="s">
        <v>306</v>
      </c>
    </row>
    <row r="55" spans="1:3">
      <c r="A55">
        <v>54</v>
      </c>
      <c r="B55" s="13" t="s">
        <v>307</v>
      </c>
    </row>
    <row r="56" spans="1:3">
      <c r="A56">
        <v>55</v>
      </c>
      <c r="B56" s="13" t="s">
        <v>308</v>
      </c>
    </row>
    <row r="57" spans="1:3">
      <c r="A57">
        <v>56</v>
      </c>
      <c r="B57" s="13" t="s">
        <v>309</v>
      </c>
    </row>
    <row r="58" spans="1:3">
      <c r="A58">
        <v>57</v>
      </c>
      <c r="B58" s="13" t="s">
        <v>310</v>
      </c>
    </row>
    <row r="59" spans="1:3">
      <c r="A59">
        <v>58</v>
      </c>
      <c r="B59" s="13" t="s">
        <v>311</v>
      </c>
    </row>
    <row r="60" spans="1:3">
      <c r="A60">
        <v>59</v>
      </c>
      <c r="B60" s="13" t="s">
        <v>312</v>
      </c>
    </row>
    <row r="61" spans="1:3">
      <c r="A61">
        <v>60</v>
      </c>
      <c r="B61" s="13" t="s">
        <v>313</v>
      </c>
    </row>
    <row r="62" spans="1:3">
      <c r="A62">
        <v>61</v>
      </c>
      <c r="B62" s="13" t="s">
        <v>314</v>
      </c>
    </row>
    <row r="63" spans="1:3">
      <c r="A63">
        <v>62</v>
      </c>
      <c r="B63" s="13" t="s">
        <v>315</v>
      </c>
    </row>
    <row r="64" spans="1:3">
      <c r="A64">
        <v>63</v>
      </c>
      <c r="B64" s="13" t="s">
        <v>316</v>
      </c>
    </row>
    <row r="65" spans="1:2">
      <c r="A65">
        <v>64</v>
      </c>
      <c r="B65" s="13" t="s">
        <v>317</v>
      </c>
    </row>
    <row r="66" spans="1:2">
      <c r="A66">
        <v>65</v>
      </c>
      <c r="B66" s="13" t="s">
        <v>318</v>
      </c>
    </row>
    <row r="67" spans="1:2">
      <c r="A67">
        <v>66</v>
      </c>
      <c r="B67" s="13" t="s">
        <v>319</v>
      </c>
    </row>
    <row r="68" spans="1:2">
      <c r="A68">
        <v>67</v>
      </c>
      <c r="B68" s="13" t="s">
        <v>320</v>
      </c>
    </row>
    <row r="69" spans="1:2">
      <c r="A69">
        <v>68</v>
      </c>
      <c r="B69" s="13" t="s">
        <v>321</v>
      </c>
    </row>
    <row r="70" spans="1:2">
      <c r="A70">
        <v>69</v>
      </c>
      <c r="B70" s="13" t="s">
        <v>322</v>
      </c>
    </row>
    <row r="71" spans="1:2">
      <c r="A71">
        <v>70</v>
      </c>
      <c r="B71" s="13" t="s">
        <v>323</v>
      </c>
    </row>
    <row r="72" spans="1:2">
      <c r="A72">
        <v>71</v>
      </c>
      <c r="B72" s="13" t="s">
        <v>324</v>
      </c>
    </row>
    <row r="73" spans="1:2">
      <c r="A73">
        <v>72</v>
      </c>
      <c r="B73" s="13" t="s">
        <v>325</v>
      </c>
    </row>
    <row r="74" spans="1:2">
      <c r="A74">
        <v>73</v>
      </c>
      <c r="B74" s="13" t="s">
        <v>326</v>
      </c>
    </row>
    <row r="75" spans="1:2">
      <c r="A75">
        <v>74</v>
      </c>
      <c r="B75" s="13" t="s">
        <v>327</v>
      </c>
    </row>
    <row r="76" spans="1:2">
      <c r="A76">
        <v>75</v>
      </c>
      <c r="B76" s="13" t="s">
        <v>328</v>
      </c>
    </row>
    <row r="77" spans="1:2">
      <c r="A77">
        <v>76</v>
      </c>
      <c r="B77" s="13" t="s">
        <v>329</v>
      </c>
    </row>
    <row r="78" spans="1:2">
      <c r="A78">
        <v>77</v>
      </c>
      <c r="B78" s="13" t="s">
        <v>330</v>
      </c>
    </row>
    <row r="79" spans="1:2">
      <c r="A79">
        <v>78</v>
      </c>
      <c r="B79" s="13" t="s">
        <v>331</v>
      </c>
    </row>
    <row r="80" spans="1:2">
      <c r="A80">
        <v>79</v>
      </c>
      <c r="B80" s="13" t="s">
        <v>332</v>
      </c>
    </row>
    <row r="81" spans="1:2">
      <c r="A81">
        <v>80</v>
      </c>
      <c r="B81" s="13" t="s">
        <v>333</v>
      </c>
    </row>
    <row r="82" spans="1:2">
      <c r="A82">
        <v>81</v>
      </c>
      <c r="B82" s="13" t="s">
        <v>334</v>
      </c>
    </row>
    <row r="83" spans="1:2">
      <c r="A83">
        <v>82</v>
      </c>
      <c r="B83" s="13" t="s">
        <v>335</v>
      </c>
    </row>
    <row r="84" spans="1:2">
      <c r="A84">
        <v>83</v>
      </c>
      <c r="B84" s="13" t="s">
        <v>336</v>
      </c>
    </row>
    <row r="85" spans="1:2">
      <c r="A85">
        <v>84</v>
      </c>
      <c r="B85" s="13" t="s">
        <v>337</v>
      </c>
    </row>
    <row r="86" spans="1:2">
      <c r="A86">
        <v>85</v>
      </c>
      <c r="B86" s="13" t="s">
        <v>338</v>
      </c>
    </row>
    <row r="87" spans="1:2">
      <c r="A87">
        <v>86</v>
      </c>
      <c r="B87" s="13" t="s">
        <v>339</v>
      </c>
    </row>
    <row r="88" spans="1:2">
      <c r="A88">
        <v>87</v>
      </c>
      <c r="B88" s="13" t="s">
        <v>340</v>
      </c>
    </row>
    <row r="89" spans="1:2">
      <c r="A89">
        <v>88</v>
      </c>
      <c r="B89" s="13" t="s">
        <v>341</v>
      </c>
    </row>
    <row r="90" spans="1:2">
      <c r="A90">
        <v>89</v>
      </c>
      <c r="B90" s="13" t="s">
        <v>342</v>
      </c>
    </row>
    <row r="91" spans="1:2">
      <c r="A91">
        <v>90</v>
      </c>
      <c r="B91" s="13" t="s">
        <v>343</v>
      </c>
    </row>
    <row r="92" spans="1:2">
      <c r="A92">
        <v>91</v>
      </c>
      <c r="B92" s="13" t="s">
        <v>344</v>
      </c>
    </row>
    <row r="93" spans="1:2">
      <c r="A93">
        <v>92</v>
      </c>
      <c r="B93" s="13" t="s">
        <v>345</v>
      </c>
    </row>
    <row r="94" spans="1:2">
      <c r="A94">
        <v>93</v>
      </c>
      <c r="B94" s="13" t="s">
        <v>346</v>
      </c>
    </row>
    <row r="95" spans="1:2">
      <c r="A95">
        <v>94</v>
      </c>
      <c r="B95" s="13" t="s">
        <v>347</v>
      </c>
    </row>
    <row r="96" spans="1:2">
      <c r="A96">
        <v>95</v>
      </c>
      <c r="B96" s="13" t="s">
        <v>348</v>
      </c>
    </row>
    <row r="97" spans="1:2">
      <c r="A97">
        <v>96</v>
      </c>
      <c r="B97" s="13" t="s">
        <v>349</v>
      </c>
    </row>
    <row r="98" spans="1:2">
      <c r="A98">
        <v>97</v>
      </c>
      <c r="B98" s="13" t="s">
        <v>350</v>
      </c>
    </row>
    <row r="99" spans="1:2">
      <c r="A99">
        <v>98</v>
      </c>
      <c r="B99" s="13" t="s">
        <v>351</v>
      </c>
    </row>
    <row r="100" spans="1:2">
      <c r="A100">
        <v>99</v>
      </c>
      <c r="B100" s="13" t="s">
        <v>352</v>
      </c>
    </row>
    <row r="101" spans="1:2">
      <c r="A101">
        <v>100</v>
      </c>
      <c r="B101" s="13" t="s">
        <v>353</v>
      </c>
    </row>
    <row r="102" spans="1:2">
      <c r="A102">
        <v>101</v>
      </c>
      <c r="B102" s="13" t="s">
        <v>354</v>
      </c>
    </row>
    <row r="103" spans="1:2">
      <c r="A103">
        <v>102</v>
      </c>
      <c r="B103" s="13" t="s">
        <v>355</v>
      </c>
    </row>
    <row r="104" spans="1:2">
      <c r="A104">
        <v>103</v>
      </c>
      <c r="B104" s="13" t="s">
        <v>356</v>
      </c>
    </row>
    <row r="105" spans="1:2">
      <c r="A105">
        <v>104</v>
      </c>
      <c r="B105" s="13" t="s">
        <v>357</v>
      </c>
    </row>
    <row r="106" spans="1:2">
      <c r="A106">
        <v>105</v>
      </c>
      <c r="B106" s="13" t="s">
        <v>358</v>
      </c>
    </row>
    <row r="107" spans="1:2">
      <c r="A107">
        <v>106</v>
      </c>
      <c r="B107" s="13" t="s">
        <v>359</v>
      </c>
    </row>
    <row r="108" spans="1:2">
      <c r="A108">
        <v>107</v>
      </c>
      <c r="B108" s="13" t="s">
        <v>360</v>
      </c>
    </row>
    <row r="109" spans="1:2">
      <c r="A109">
        <v>108</v>
      </c>
      <c r="B109" s="13" t="s">
        <v>361</v>
      </c>
    </row>
    <row r="110" spans="1:2">
      <c r="A110">
        <v>109</v>
      </c>
      <c r="B110" s="13" t="s">
        <v>362</v>
      </c>
    </row>
    <row r="111" spans="1:2">
      <c r="A111">
        <v>110</v>
      </c>
      <c r="B111" s="13" t="s">
        <v>363</v>
      </c>
    </row>
    <row r="112" spans="1:2">
      <c r="A112">
        <v>111</v>
      </c>
      <c r="B112" s="13" t="s">
        <v>364</v>
      </c>
    </row>
    <row r="113" spans="1:2">
      <c r="A113">
        <v>112</v>
      </c>
      <c r="B113" s="13" t="s">
        <v>365</v>
      </c>
    </row>
    <row r="114" spans="1:2">
      <c r="A114">
        <v>113</v>
      </c>
      <c r="B114" s="13" t="s">
        <v>366</v>
      </c>
    </row>
    <row r="115" spans="1:2">
      <c r="A115">
        <v>114</v>
      </c>
      <c r="B115" s="13" t="s">
        <v>367</v>
      </c>
    </row>
    <row r="116" spans="1:2">
      <c r="A116">
        <v>115</v>
      </c>
      <c r="B116" s="13" t="s">
        <v>368</v>
      </c>
    </row>
    <row r="117" spans="1:2">
      <c r="A117">
        <v>116</v>
      </c>
      <c r="B117" s="13" t="s">
        <v>369</v>
      </c>
    </row>
    <row r="118" spans="1:2">
      <c r="A118">
        <v>117</v>
      </c>
      <c r="B118" s="13" t="s">
        <v>370</v>
      </c>
    </row>
    <row r="119" spans="1:2">
      <c r="A119">
        <v>118</v>
      </c>
      <c r="B119" s="13" t="s">
        <v>371</v>
      </c>
    </row>
    <row r="120" spans="1:2">
      <c r="A120">
        <v>119</v>
      </c>
      <c r="B120" s="13" t="s">
        <v>372</v>
      </c>
    </row>
    <row r="121" spans="1:2">
      <c r="A121">
        <v>120</v>
      </c>
      <c r="B121" s="13" t="s">
        <v>373</v>
      </c>
    </row>
    <row r="122" spans="1:2">
      <c r="A122">
        <v>121</v>
      </c>
      <c r="B122" s="13" t="s">
        <v>374</v>
      </c>
    </row>
    <row r="123" spans="1:2">
      <c r="A123">
        <v>122</v>
      </c>
      <c r="B123" s="13" t="s">
        <v>375</v>
      </c>
    </row>
    <row r="124" spans="1:2">
      <c r="A124">
        <v>123</v>
      </c>
      <c r="B124" s="13" t="s">
        <v>376</v>
      </c>
    </row>
    <row r="125" spans="1:2">
      <c r="A125">
        <v>124</v>
      </c>
      <c r="B125" s="13" t="s">
        <v>377</v>
      </c>
    </row>
    <row r="126" spans="1:2">
      <c r="A126">
        <v>125</v>
      </c>
      <c r="B126" s="13" t="s">
        <v>378</v>
      </c>
    </row>
    <row r="127" spans="1:2">
      <c r="A127">
        <v>126</v>
      </c>
      <c r="B127" s="13" t="s">
        <v>379</v>
      </c>
    </row>
    <row r="128" spans="1:2">
      <c r="A128">
        <v>127</v>
      </c>
      <c r="B128" s="13" t="s">
        <v>380</v>
      </c>
    </row>
    <row r="129" spans="1:2">
      <c r="A129">
        <v>128</v>
      </c>
      <c r="B129" s="13" t="s">
        <v>381</v>
      </c>
    </row>
    <row r="130" spans="1:2">
      <c r="A130">
        <v>129</v>
      </c>
      <c r="B130" s="13" t="s">
        <v>382</v>
      </c>
    </row>
    <row r="131" spans="1:2">
      <c r="A131">
        <v>130</v>
      </c>
      <c r="B131" s="13" t="s">
        <v>383</v>
      </c>
    </row>
    <row r="132" spans="1:2">
      <c r="A132">
        <v>131</v>
      </c>
      <c r="B132" s="13" t="s">
        <v>384</v>
      </c>
    </row>
    <row r="133" spans="1:2">
      <c r="A133">
        <v>132</v>
      </c>
      <c r="B133" s="13" t="s">
        <v>385</v>
      </c>
    </row>
    <row r="134" spans="1:2">
      <c r="A134">
        <v>133</v>
      </c>
      <c r="B134" s="13" t="s">
        <v>386</v>
      </c>
    </row>
    <row r="135" spans="1:2">
      <c r="A135">
        <v>134</v>
      </c>
      <c r="B135" s="13" t="s">
        <v>387</v>
      </c>
    </row>
    <row r="136" spans="1:2">
      <c r="A136">
        <v>135</v>
      </c>
      <c r="B136" s="13" t="s">
        <v>388</v>
      </c>
    </row>
    <row r="137" spans="1:2">
      <c r="A137">
        <v>136</v>
      </c>
      <c r="B137" s="13" t="s">
        <v>389</v>
      </c>
    </row>
    <row r="138" spans="1:2">
      <c r="A138">
        <v>137</v>
      </c>
      <c r="B138" s="13" t="s">
        <v>390</v>
      </c>
    </row>
    <row r="139" spans="1:2">
      <c r="A139">
        <v>138</v>
      </c>
      <c r="B139" s="13" t="s">
        <v>391</v>
      </c>
    </row>
    <row r="140" spans="1:2">
      <c r="A140">
        <v>139</v>
      </c>
      <c r="B140" s="13" t="s">
        <v>392</v>
      </c>
    </row>
    <row r="141" spans="1:2">
      <c r="A141">
        <v>140</v>
      </c>
      <c r="B141" s="13" t="s">
        <v>393</v>
      </c>
    </row>
    <row r="142" spans="1:2">
      <c r="A142">
        <v>141</v>
      </c>
      <c r="B142" s="13" t="s">
        <v>394</v>
      </c>
    </row>
    <row r="143" spans="1:2">
      <c r="A143">
        <v>142</v>
      </c>
      <c r="B143" s="13" t="s">
        <v>395</v>
      </c>
    </row>
    <row r="144" spans="1:2">
      <c r="A144">
        <v>143</v>
      </c>
      <c r="B144" s="13" t="s">
        <v>396</v>
      </c>
    </row>
    <row r="145" spans="1:2">
      <c r="A145">
        <v>144</v>
      </c>
      <c r="B145" s="13" t="s">
        <v>397</v>
      </c>
    </row>
    <row r="146" spans="1:2">
      <c r="A146">
        <v>145</v>
      </c>
      <c r="B146" s="13" t="s">
        <v>398</v>
      </c>
    </row>
    <row r="147" spans="1:2">
      <c r="A147">
        <v>146</v>
      </c>
      <c r="B147" s="13" t="s">
        <v>399</v>
      </c>
    </row>
    <row r="148" spans="1:2">
      <c r="A148">
        <v>147</v>
      </c>
      <c r="B148" s="13" t="s">
        <v>400</v>
      </c>
    </row>
    <row r="149" spans="1:2">
      <c r="A149">
        <v>148</v>
      </c>
      <c r="B149" s="13" t="s">
        <v>401</v>
      </c>
    </row>
    <row r="150" spans="1:2">
      <c r="A150">
        <v>149</v>
      </c>
      <c r="B150" s="13" t="s">
        <v>402</v>
      </c>
    </row>
    <row r="151" spans="1:2">
      <c r="A151">
        <v>150</v>
      </c>
      <c r="B151" s="13" t="s">
        <v>403</v>
      </c>
    </row>
    <row r="152" spans="1:2">
      <c r="A152">
        <v>151</v>
      </c>
      <c r="B152" s="13" t="s">
        <v>404</v>
      </c>
    </row>
    <row r="153" spans="1:2">
      <c r="A153">
        <v>152</v>
      </c>
      <c r="B153" s="13" t="s">
        <v>405</v>
      </c>
    </row>
    <row r="154" spans="1:2">
      <c r="A154">
        <v>153</v>
      </c>
      <c r="B154" s="13" t="s">
        <v>406</v>
      </c>
    </row>
    <row r="155" spans="1:2">
      <c r="A155">
        <v>154</v>
      </c>
      <c r="B155" s="13" t="s">
        <v>407</v>
      </c>
    </row>
    <row r="156" spans="1:2">
      <c r="A156">
        <v>155</v>
      </c>
      <c r="B156" s="13" t="s">
        <v>408</v>
      </c>
    </row>
    <row r="157" spans="1:2">
      <c r="A157">
        <v>156</v>
      </c>
      <c r="B157" s="13" t="s">
        <v>409</v>
      </c>
    </row>
    <row r="158" spans="1:2">
      <c r="A158">
        <v>157</v>
      </c>
      <c r="B158" s="13" t="s">
        <v>410</v>
      </c>
    </row>
    <row r="159" spans="1:2">
      <c r="A159">
        <v>158</v>
      </c>
      <c r="B159" s="13" t="s">
        <v>411</v>
      </c>
    </row>
    <row r="160" spans="1:2">
      <c r="A160">
        <v>159</v>
      </c>
      <c r="B160" s="13" t="s">
        <v>412</v>
      </c>
    </row>
    <row r="161" spans="1:2">
      <c r="A161">
        <v>160</v>
      </c>
      <c r="B161" s="13" t="s">
        <v>413</v>
      </c>
    </row>
    <row r="162" spans="1:2">
      <c r="A162">
        <v>161</v>
      </c>
      <c r="B162" s="13" t="s">
        <v>414</v>
      </c>
    </row>
    <row r="163" spans="1:2">
      <c r="A163">
        <v>162</v>
      </c>
      <c r="B163" s="13" t="s">
        <v>415</v>
      </c>
    </row>
    <row r="164" spans="1:2">
      <c r="A164">
        <v>163</v>
      </c>
      <c r="B164" s="13" t="s">
        <v>416</v>
      </c>
    </row>
    <row r="165" spans="1:2">
      <c r="A165">
        <v>164</v>
      </c>
      <c r="B165" s="13" t="s">
        <v>417</v>
      </c>
    </row>
    <row r="166" spans="1:2">
      <c r="A166">
        <v>165</v>
      </c>
      <c r="B166" s="13" t="s">
        <v>418</v>
      </c>
    </row>
    <row r="167" spans="1:2">
      <c r="A167">
        <v>166</v>
      </c>
      <c r="B167" s="13" t="s">
        <v>419</v>
      </c>
    </row>
    <row r="168" spans="1:2">
      <c r="A168">
        <v>167</v>
      </c>
      <c r="B168" s="13" t="s">
        <v>420</v>
      </c>
    </row>
    <row r="169" spans="1:2">
      <c r="A169">
        <v>168</v>
      </c>
      <c r="B169" s="13" t="s">
        <v>421</v>
      </c>
    </row>
    <row r="170" spans="1:2">
      <c r="A170">
        <v>169</v>
      </c>
      <c r="B170" s="13" t="s">
        <v>422</v>
      </c>
    </row>
    <row r="171" spans="1:2">
      <c r="A171">
        <v>170</v>
      </c>
      <c r="B171" s="13" t="s">
        <v>423</v>
      </c>
    </row>
    <row r="172" spans="1:2">
      <c r="A172">
        <v>171</v>
      </c>
      <c r="B172" s="13" t="s">
        <v>424</v>
      </c>
    </row>
    <row r="173" spans="1:2">
      <c r="A173">
        <v>172</v>
      </c>
      <c r="B173" s="13" t="s">
        <v>425</v>
      </c>
    </row>
    <row r="174" spans="1:2">
      <c r="A174">
        <v>173</v>
      </c>
      <c r="B174" s="13" t="s">
        <v>426</v>
      </c>
    </row>
    <row r="175" spans="1:2">
      <c r="A175">
        <v>174</v>
      </c>
      <c r="B175" s="13" t="s">
        <v>427</v>
      </c>
    </row>
    <row r="176" spans="1:2">
      <c r="A176">
        <v>175</v>
      </c>
      <c r="B176" s="13" t="s">
        <v>428</v>
      </c>
    </row>
    <row r="177" spans="1:2">
      <c r="A177">
        <v>176</v>
      </c>
      <c r="B177" s="13" t="s">
        <v>429</v>
      </c>
    </row>
    <row r="178" spans="1:2">
      <c r="A178">
        <v>177</v>
      </c>
      <c r="B178" s="13" t="s">
        <v>430</v>
      </c>
    </row>
    <row r="179" spans="1:2">
      <c r="A179">
        <v>178</v>
      </c>
      <c r="B179" s="13" t="s">
        <v>431</v>
      </c>
    </row>
    <row r="180" spans="1:2">
      <c r="A180">
        <v>179</v>
      </c>
      <c r="B180" s="13" t="s">
        <v>432</v>
      </c>
    </row>
    <row r="181" spans="1:2">
      <c r="A181">
        <v>180</v>
      </c>
      <c r="B181" s="13" t="s">
        <v>433</v>
      </c>
    </row>
    <row r="182" spans="1:2">
      <c r="A182">
        <v>181</v>
      </c>
      <c r="B182" s="13" t="s">
        <v>434</v>
      </c>
    </row>
    <row r="183" spans="1:2">
      <c r="A183">
        <v>182</v>
      </c>
      <c r="B183" s="13" t="s">
        <v>435</v>
      </c>
    </row>
    <row r="184" spans="1:2">
      <c r="A184">
        <v>183</v>
      </c>
      <c r="B184" s="13" t="s">
        <v>436</v>
      </c>
    </row>
    <row r="185" spans="1:2">
      <c r="A185">
        <v>184</v>
      </c>
      <c r="B185" s="13" t="s">
        <v>437</v>
      </c>
    </row>
    <row r="186" spans="1:2">
      <c r="A186">
        <v>185</v>
      </c>
      <c r="B186" s="13" t="s">
        <v>438</v>
      </c>
    </row>
    <row r="187" spans="1:2">
      <c r="A187">
        <v>186</v>
      </c>
      <c r="B187" s="13" t="s">
        <v>439</v>
      </c>
    </row>
    <row r="188" spans="1:2">
      <c r="A188">
        <v>187</v>
      </c>
      <c r="B188" s="13" t="s">
        <v>440</v>
      </c>
    </row>
    <row r="189" spans="1:2">
      <c r="A189">
        <v>188</v>
      </c>
      <c r="B189" s="13" t="s">
        <v>441</v>
      </c>
    </row>
    <row r="190" spans="1:2">
      <c r="A190">
        <v>189</v>
      </c>
      <c r="B190" s="13" t="s">
        <v>442</v>
      </c>
    </row>
    <row r="191" spans="1:2">
      <c r="A191">
        <v>190</v>
      </c>
      <c r="B191" s="13" t="s">
        <v>443</v>
      </c>
    </row>
    <row r="192" spans="1:2">
      <c r="A192">
        <v>191</v>
      </c>
      <c r="B192" s="13" t="s">
        <v>444</v>
      </c>
    </row>
    <row r="193" spans="1:2">
      <c r="A193">
        <v>192</v>
      </c>
      <c r="B193" s="13" t="s">
        <v>445</v>
      </c>
    </row>
    <row r="194" spans="1:2">
      <c r="A194">
        <v>193</v>
      </c>
      <c r="B194" s="13" t="s">
        <v>446</v>
      </c>
    </row>
    <row r="195" spans="1:2">
      <c r="A195">
        <v>194</v>
      </c>
      <c r="B195" s="13" t="s">
        <v>447</v>
      </c>
    </row>
    <row r="196" spans="1:2">
      <c r="A196">
        <v>195</v>
      </c>
      <c r="B196" s="13" t="s">
        <v>448</v>
      </c>
    </row>
    <row r="197" spans="1:2">
      <c r="A197">
        <v>196</v>
      </c>
      <c r="B197" s="13" t="s">
        <v>449</v>
      </c>
    </row>
    <row r="198" spans="1:2">
      <c r="A198">
        <v>197</v>
      </c>
      <c r="B198" s="13" t="s">
        <v>450</v>
      </c>
    </row>
    <row r="199" spans="1:2">
      <c r="A199">
        <v>198</v>
      </c>
      <c r="B199" s="13" t="s">
        <v>451</v>
      </c>
    </row>
    <row r="200" spans="1:2">
      <c r="A200">
        <v>199</v>
      </c>
      <c r="B200" s="13" t="s">
        <v>452</v>
      </c>
    </row>
    <row r="201" spans="1:2">
      <c r="A201">
        <v>200</v>
      </c>
      <c r="B201" s="13" t="s">
        <v>453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8E43-7FC1-40A3-A55A-D265F6AD8118}">
  <dimension ref="A1:K92"/>
  <sheetViews>
    <sheetView topLeftCell="A44" workbookViewId="0">
      <selection activeCell="E63" sqref="E63"/>
    </sheetView>
  </sheetViews>
  <sheetFormatPr defaultRowHeight="14.4"/>
  <cols>
    <col min="1" max="1" width="39.5234375" customWidth="1"/>
    <col min="2" max="2" width="60.5234375" customWidth="1"/>
    <col min="3" max="3" width="17.41796875" customWidth="1"/>
    <col min="5" max="5" width="16.3671875" customWidth="1"/>
    <col min="9" max="9" width="26" customWidth="1"/>
    <col min="10" max="10" width="98.47265625" bestFit="1" customWidth="1"/>
    <col min="11" max="11" width="54.7890625" bestFit="1" customWidth="1"/>
  </cols>
  <sheetData>
    <row r="1" spans="1:11" ht="17.399999999999999">
      <c r="A1" s="17" t="s">
        <v>279</v>
      </c>
      <c r="I1" t="s">
        <v>456</v>
      </c>
      <c r="J1" t="s">
        <v>457</v>
      </c>
      <c r="K1" t="s">
        <v>458</v>
      </c>
    </row>
    <row r="2" spans="1:11">
      <c r="I2" t="s">
        <v>459</v>
      </c>
      <c r="J2" t="s">
        <v>460</v>
      </c>
      <c r="K2" t="s">
        <v>471</v>
      </c>
    </row>
    <row r="3" spans="1:11">
      <c r="A3" t="s">
        <v>280</v>
      </c>
      <c r="I3" t="s">
        <v>461</v>
      </c>
      <c r="J3" t="s">
        <v>462</v>
      </c>
      <c r="K3" t="s">
        <v>472</v>
      </c>
    </row>
    <row r="4" spans="1:11">
      <c r="A4" s="18"/>
      <c r="I4" t="s">
        <v>463</v>
      </c>
      <c r="J4" t="s">
        <v>464</v>
      </c>
      <c r="K4" t="s">
        <v>473</v>
      </c>
    </row>
    <row r="5" spans="1:11">
      <c r="A5" s="19" t="s">
        <v>281</v>
      </c>
      <c r="I5" t="s">
        <v>465</v>
      </c>
      <c r="J5" t="s">
        <v>466</v>
      </c>
      <c r="K5" t="s">
        <v>474</v>
      </c>
    </row>
    <row r="6" spans="1:11">
      <c r="A6" s="18"/>
      <c r="I6" t="s">
        <v>467</v>
      </c>
      <c r="J6" t="s">
        <v>468</v>
      </c>
      <c r="K6" t="s">
        <v>475</v>
      </c>
    </row>
    <row r="7" spans="1:11">
      <c r="A7" s="19" t="s">
        <v>282</v>
      </c>
      <c r="I7" t="s">
        <v>469</v>
      </c>
      <c r="J7" t="s">
        <v>470</v>
      </c>
      <c r="K7" t="s">
        <v>476</v>
      </c>
    </row>
    <row r="8" spans="1:11">
      <c r="A8" s="18"/>
      <c r="I8" t="s">
        <v>489</v>
      </c>
      <c r="J8" t="s">
        <v>477</v>
      </c>
      <c r="K8" t="s">
        <v>478</v>
      </c>
    </row>
    <row r="9" spans="1:11">
      <c r="A9" s="19" t="s">
        <v>283</v>
      </c>
      <c r="I9" t="s">
        <v>491</v>
      </c>
      <c r="J9" t="s">
        <v>479</v>
      </c>
      <c r="K9" t="s">
        <v>480</v>
      </c>
    </row>
    <row r="10" spans="1:11">
      <c r="I10" t="s">
        <v>492</v>
      </c>
      <c r="J10" t="s">
        <v>481</v>
      </c>
      <c r="K10" t="s">
        <v>482</v>
      </c>
    </row>
    <row r="11" spans="1:11" ht="17.399999999999999">
      <c r="A11" s="17" t="s">
        <v>284</v>
      </c>
      <c r="I11" t="s">
        <v>493</v>
      </c>
      <c r="J11" t="s">
        <v>483</v>
      </c>
      <c r="K11" t="s">
        <v>484</v>
      </c>
    </row>
    <row r="12" spans="1:11">
      <c r="I12" t="s">
        <v>494</v>
      </c>
      <c r="J12" t="s">
        <v>485</v>
      </c>
      <c r="K12" t="s">
        <v>486</v>
      </c>
    </row>
    <row r="13" spans="1:11">
      <c r="A13" t="s">
        <v>285</v>
      </c>
      <c r="I13" t="s">
        <v>490</v>
      </c>
      <c r="J13" t="s">
        <v>487</v>
      </c>
      <c r="K13" t="s">
        <v>488</v>
      </c>
    </row>
    <row r="14" spans="1:11">
      <c r="A14" s="18"/>
    </row>
    <row r="15" spans="1:11">
      <c r="A15" s="19" t="s">
        <v>286</v>
      </c>
    </row>
    <row r="16" spans="1:11">
      <c r="A16" s="18"/>
    </row>
    <row r="17" spans="1:1">
      <c r="A17" s="19" t="s">
        <v>287</v>
      </c>
    </row>
    <row r="18" spans="1:1">
      <c r="A18" s="18"/>
    </row>
    <row r="19" spans="1:1">
      <c r="A19" s="19" t="s">
        <v>288</v>
      </c>
    </row>
    <row r="21" spans="1:1" ht="17.399999999999999">
      <c r="A21" s="17" t="s">
        <v>289</v>
      </c>
    </row>
    <row r="23" spans="1:1">
      <c r="A23" t="s">
        <v>290</v>
      </c>
    </row>
    <row r="24" spans="1:1">
      <c r="A24" s="18"/>
    </row>
    <row r="25" spans="1:1">
      <c r="A25" s="19" t="s">
        <v>291</v>
      </c>
    </row>
    <row r="26" spans="1:1">
      <c r="A26" s="18"/>
    </row>
    <row r="27" spans="1:1">
      <c r="A27" s="19" t="s">
        <v>292</v>
      </c>
    </row>
    <row r="31" spans="1:1" ht="17.399999999999999">
      <c r="A31" s="17" t="s">
        <v>293</v>
      </c>
    </row>
    <row r="33" spans="1:1">
      <c r="A33" t="s">
        <v>294</v>
      </c>
    </row>
    <row r="34" spans="1:1">
      <c r="A34" s="18"/>
    </row>
    <row r="35" spans="1:1">
      <c r="A35" s="19" t="s">
        <v>295</v>
      </c>
    </row>
    <row r="36" spans="1:1">
      <c r="A36" s="18"/>
    </row>
    <row r="37" spans="1:1">
      <c r="A37" s="19" t="s">
        <v>296</v>
      </c>
    </row>
    <row r="38" spans="1:1">
      <c r="A38" s="18"/>
    </row>
    <row r="39" spans="1:1">
      <c r="A39" s="19" t="s">
        <v>297</v>
      </c>
    </row>
    <row r="40" spans="1:1">
      <c r="A40" s="18"/>
    </row>
    <row r="41" spans="1:1">
      <c r="A41" s="19" t="s">
        <v>298</v>
      </c>
    </row>
    <row r="43" spans="1:1" ht="17.399999999999999">
      <c r="A43" s="17" t="s">
        <v>299</v>
      </c>
    </row>
    <row r="45" spans="1:1">
      <c r="A45" t="s">
        <v>300</v>
      </c>
    </row>
    <row r="46" spans="1:1">
      <c r="A46" s="18"/>
    </row>
    <row r="47" spans="1:1">
      <c r="A47" s="19" t="s">
        <v>301</v>
      </c>
    </row>
    <row r="48" spans="1:1">
      <c r="A48" s="18"/>
    </row>
    <row r="49" spans="1:6">
      <c r="A49" s="19" t="s">
        <v>302</v>
      </c>
    </row>
    <row r="50" spans="1:6">
      <c r="A50" s="18"/>
    </row>
    <row r="51" spans="1:6">
      <c r="A51" s="19" t="s">
        <v>303</v>
      </c>
    </row>
    <row r="52" spans="1:6">
      <c r="A52" s="18"/>
    </row>
    <row r="53" spans="1:6">
      <c r="A53" s="19" t="s">
        <v>304</v>
      </c>
    </row>
    <row r="59" spans="1:6" ht="42.3">
      <c r="A59" s="22" t="s">
        <v>495</v>
      </c>
      <c r="B59" s="22" t="s">
        <v>496</v>
      </c>
      <c r="C59" s="22" t="s">
        <v>497</v>
      </c>
      <c r="D59" s="22" t="s">
        <v>498</v>
      </c>
      <c r="E59" s="22" t="s">
        <v>499</v>
      </c>
      <c r="F59" s="22" t="s">
        <v>500</v>
      </c>
    </row>
    <row r="60" spans="1:6" ht="27.6">
      <c r="A60" s="22" t="s">
        <v>501</v>
      </c>
      <c r="B60" s="23" t="s">
        <v>502</v>
      </c>
      <c r="C60" s="22" t="s">
        <v>503</v>
      </c>
      <c r="D60" s="25" t="s">
        <v>504</v>
      </c>
      <c r="E60" s="23" t="s">
        <v>505</v>
      </c>
      <c r="F60" s="23" t="s">
        <v>506</v>
      </c>
    </row>
    <row r="61" spans="1:6" ht="27.9">
      <c r="A61" s="22" t="s">
        <v>507</v>
      </c>
      <c r="B61" s="23" t="s">
        <v>508</v>
      </c>
      <c r="C61" s="22" t="s">
        <v>509</v>
      </c>
      <c r="D61" s="25" t="s">
        <v>510</v>
      </c>
      <c r="E61" s="23" t="s">
        <v>511</v>
      </c>
      <c r="F61" s="23" t="s">
        <v>512</v>
      </c>
    </row>
    <row r="62" spans="1:6" ht="27.6">
      <c r="A62" s="22" t="s">
        <v>513</v>
      </c>
      <c r="B62" s="23" t="s">
        <v>514</v>
      </c>
      <c r="C62" s="22" t="s">
        <v>515</v>
      </c>
      <c r="D62" s="25" t="s">
        <v>516</v>
      </c>
      <c r="E62" s="23" t="s">
        <v>517</v>
      </c>
      <c r="F62" s="23" t="s">
        <v>512</v>
      </c>
    </row>
    <row r="63" spans="1:6" ht="27.6">
      <c r="A63" s="22" t="s">
        <v>518</v>
      </c>
      <c r="B63" s="23" t="s">
        <v>519</v>
      </c>
      <c r="C63" s="22" t="s">
        <v>520</v>
      </c>
      <c r="D63" s="25" t="s">
        <v>521</v>
      </c>
      <c r="E63" s="23" t="s">
        <v>522</v>
      </c>
      <c r="F63" s="23" t="s">
        <v>523</v>
      </c>
    </row>
    <row r="64" spans="1:6" ht="27.9">
      <c r="A64" s="22" t="s">
        <v>524</v>
      </c>
      <c r="B64" s="23" t="s">
        <v>525</v>
      </c>
      <c r="C64" s="22" t="s">
        <v>526</v>
      </c>
      <c r="D64" s="25" t="s">
        <v>527</v>
      </c>
      <c r="E64" s="23" t="s">
        <v>528</v>
      </c>
      <c r="F64" s="23" t="s">
        <v>529</v>
      </c>
    </row>
    <row r="65" spans="1:6" ht="27.6">
      <c r="A65" s="22" t="s">
        <v>530</v>
      </c>
      <c r="B65" s="24" t="s">
        <v>531</v>
      </c>
      <c r="C65" s="22" t="s">
        <v>503</v>
      </c>
      <c r="D65" s="25" t="s">
        <v>504</v>
      </c>
      <c r="E65" s="23" t="s">
        <v>505</v>
      </c>
      <c r="F65" s="23" t="s">
        <v>506</v>
      </c>
    </row>
    <row r="66" spans="1:6">
      <c r="B66" s="18"/>
    </row>
    <row r="67" spans="1:6">
      <c r="B67" s="18"/>
    </row>
    <row r="68" spans="1:6">
      <c r="B68" s="18"/>
    </row>
    <row r="69" spans="1:6">
      <c r="B69" s="18"/>
    </row>
    <row r="70" spans="1:6">
      <c r="B70" s="18"/>
    </row>
    <row r="71" spans="1:6">
      <c r="B71" s="18"/>
    </row>
    <row r="72" spans="1:6">
      <c r="B72" s="18"/>
    </row>
    <row r="73" spans="1:6">
      <c r="B73" s="18"/>
    </row>
    <row r="74" spans="1:6">
      <c r="B74" s="18"/>
    </row>
    <row r="76" spans="1:6">
      <c r="B76" s="21"/>
    </row>
    <row r="77" spans="1:6">
      <c r="B77" s="18"/>
    </row>
    <row r="78" spans="1:6">
      <c r="B78" s="18"/>
    </row>
    <row r="79" spans="1:6">
      <c r="B79" s="18"/>
    </row>
    <row r="80" spans="1:6">
      <c r="B80" s="18"/>
    </row>
    <row r="81" spans="2:2">
      <c r="B81" s="18"/>
    </row>
    <row r="82" spans="2:2">
      <c r="B82" s="18"/>
    </row>
    <row r="83" spans="2:2">
      <c r="B83" s="18"/>
    </row>
    <row r="84" spans="2:2">
      <c r="B84" s="18"/>
    </row>
    <row r="86" spans="2:2">
      <c r="B86" s="21"/>
    </row>
    <row r="87" spans="2:2">
      <c r="B87" s="18"/>
    </row>
    <row r="88" spans="2:2">
      <c r="B88" s="18"/>
    </row>
    <row r="89" spans="2:2">
      <c r="B89" s="18"/>
    </row>
    <row r="90" spans="2:2">
      <c r="B90" s="18"/>
    </row>
    <row r="91" spans="2:2">
      <c r="B91" s="18"/>
    </row>
    <row r="92" spans="2:2">
      <c r="B92" s="1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Branding</vt:lpstr>
      <vt:lpstr>SpecialOffer</vt:lpstr>
      <vt:lpstr>Menu-English</vt:lpstr>
      <vt:lpstr>Menu-Arabic</vt:lpstr>
      <vt:lpstr>RelatedItems</vt:lpstr>
      <vt:lpstr>Inventory</vt:lpstr>
      <vt:lpstr>Content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2026-06-30T07:25:42Z</dcterms:created>
  <dcterms:modified xsi:type="dcterms:W3CDTF">2026-07-04T19:43:37Z</dcterms:modified>
</cp:coreProperties>
</file>